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tos" sheetId="1" state="visible" r:id="rId3"/>
    <sheet name="Como usar" sheetId="2" state="visible" r:id="rId4"/>
  </sheets>
  <definedNames>
    <definedName function="false" hidden="true" localSheetId="0" name="_xlnm._FilterDatabase" vbProcedure="false">Projetos!$A$1:$T$83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<sst xmlns="http://schemas.openxmlformats.org/spreadsheetml/2006/main" count="685" uniqueCount="137">
  <si>
    <t xml:space="preserve">definicao_do_projeto</t>
  </si>
  <si>
    <t xml:space="preserve">nota</t>
  </si>
  <si>
    <t xml:space="preserve">familia_regen</t>
  </si>
  <si>
    <t xml:space="preserve">Polo</t>
  </si>
  <si>
    <t xml:space="preserve">Polo Operacional</t>
  </si>
  <si>
    <t xml:space="preserve">status</t>
  </si>
  <si>
    <t xml:space="preserve">contrato</t>
  </si>
  <si>
    <t xml:space="preserve">Empreiteira_Contratos</t>
  </si>
  <si>
    <t xml:space="preserve">Plan_Servico_UPS</t>
  </si>
  <si>
    <t xml:space="preserve">Circuito</t>
  </si>
  <si>
    <t xml:space="preserve">Area</t>
  </si>
  <si>
    <t xml:space="preserve">dataATEC</t>
  </si>
  <si>
    <t xml:space="preserve">Município</t>
  </si>
  <si>
    <t xml:space="preserve">Latitude</t>
  </si>
  <si>
    <t xml:space="preserve">Longitude</t>
  </si>
  <si>
    <t xml:space="preserve">Coordenadas (lat,long)</t>
  </si>
  <si>
    <t xml:space="preserve">Link Google Maps</t>
  </si>
  <si>
    <t xml:space="preserve">Link Rota (Como chegar)</t>
  </si>
  <si>
    <t xml:space="preserve">Link Street View</t>
  </si>
  <si>
    <t xml:space="preserve">Link My Maps (mapa geral)</t>
  </si>
  <si>
    <t xml:space="preserve">DMP/A.ABC.26.00536</t>
  </si>
  <si>
    <t xml:space="preserve">Spacer Cable</t>
  </si>
  <si>
    <t xml:space="preserve">Leste</t>
  </si>
  <si>
    <t xml:space="preserve">LIB // ASSI</t>
  </si>
  <si>
    <t xml:space="preserve">Start</t>
  </si>
  <si>
    <t xml:space="preserve">NAC  0102</t>
  </si>
  <si>
    <t xml:space="preserve">SANTO ANDRE</t>
  </si>
  <si>
    <t xml:space="preserve">DMP/A.LES.26.01026</t>
  </si>
  <si>
    <t xml:space="preserve">LIB // DELI</t>
  </si>
  <si>
    <t xml:space="preserve">Engelmig</t>
  </si>
  <si>
    <t xml:space="preserve">GNA  0106</t>
  </si>
  <si>
    <t xml:space="preserve">SÃO PAULO</t>
  </si>
  <si>
    <t xml:space="preserve">DMP/A.ABC.26.00539</t>
  </si>
  <si>
    <t xml:space="preserve">MAUA</t>
  </si>
  <si>
    <t xml:space="preserve">DMP/A.ABC.26.00542</t>
  </si>
  <si>
    <t xml:space="preserve">DMP/A.ABC.26.00544</t>
  </si>
  <si>
    <t xml:space="preserve">LIB // AUTO</t>
  </si>
  <si>
    <t xml:space="preserve">DMP/A.LES.26.01010</t>
  </si>
  <si>
    <t xml:space="preserve">DMP/A.ABC.26.00545</t>
  </si>
  <si>
    <t xml:space="preserve">DMP/A.LES.26.00565</t>
  </si>
  <si>
    <t xml:space="preserve">DMP/A.LES.26.01053</t>
  </si>
  <si>
    <t xml:space="preserve">DMP/A.LES.26.03075</t>
  </si>
  <si>
    <t xml:space="preserve">DMP/A.ABC.26.00547</t>
  </si>
  <si>
    <t xml:space="preserve">NAC  0105</t>
  </si>
  <si>
    <t xml:space="preserve">DMP/A.LES.26.03188</t>
  </si>
  <si>
    <t xml:space="preserve">TIR  0105</t>
  </si>
  <si>
    <t xml:space="preserve">DMP/A.LES.26.03156</t>
  </si>
  <si>
    <t xml:space="preserve">DMP/A.LES.26.01011</t>
  </si>
  <si>
    <t xml:space="preserve">DMP/A.LES.26.01023</t>
  </si>
  <si>
    <t xml:space="preserve">DMP/A.ABC.26.02513</t>
  </si>
  <si>
    <t xml:space="preserve">DMP/A.ABC.26.02597</t>
  </si>
  <si>
    <t xml:space="preserve">DMP/A.ABC.26.02641</t>
  </si>
  <si>
    <t xml:space="preserve">DMP/A.ABC.26.02654</t>
  </si>
  <si>
    <t xml:space="preserve">DMP/A.ABC.26.02844</t>
  </si>
  <si>
    <t xml:space="preserve">DMP/A.ABC.26.02852</t>
  </si>
  <si>
    <t xml:space="preserve">PSC Alpitel</t>
  </si>
  <si>
    <t xml:space="preserve">DMP/A.ABC.26.02898</t>
  </si>
  <si>
    <t xml:space="preserve">DMP/A.LES.20.03786</t>
  </si>
  <si>
    <t xml:space="preserve">MSA  0104</t>
  </si>
  <si>
    <t xml:space="preserve">DMP/A.LES.21.13537</t>
  </si>
  <si>
    <t xml:space="preserve">MAT  0110</t>
  </si>
  <si>
    <t xml:space="preserve">DMP/A.LES.21.16416</t>
  </si>
  <si>
    <t xml:space="preserve">DMP/A.LES.21.16570</t>
  </si>
  <si>
    <t xml:space="preserve">DMP/A.LES.24.01013</t>
  </si>
  <si>
    <t xml:space="preserve">DMP/A.LES.24.05679</t>
  </si>
  <si>
    <t xml:space="preserve">VIT  0104</t>
  </si>
  <si>
    <t xml:space="preserve">DMP/A.LES.26.01978</t>
  </si>
  <si>
    <t xml:space="preserve">DMP/A.LES.26.00993</t>
  </si>
  <si>
    <t xml:space="preserve">DMP/A.LES.26.03035</t>
  </si>
  <si>
    <t xml:space="preserve">DMP/A.LES.26.03104</t>
  </si>
  <si>
    <t xml:space="preserve">DMP/A.LES.26.01021</t>
  </si>
  <si>
    <t xml:space="preserve">DMP/A.LES.26.01022</t>
  </si>
  <si>
    <t xml:space="preserve">DMP/A.LES.26.03105</t>
  </si>
  <si>
    <t xml:space="preserve">DMP/A.LES.26.01024</t>
  </si>
  <si>
    <t xml:space="preserve">DMP/A.LES.26.01025</t>
  </si>
  <si>
    <t xml:space="preserve">DMP/A.LES.26.01034</t>
  </si>
  <si>
    <t xml:space="preserve">DMP/A.LES.26.01035</t>
  </si>
  <si>
    <t xml:space="preserve">DMP/A.LES.26.01039</t>
  </si>
  <si>
    <t xml:space="preserve">DMP/A.LES.26.01040</t>
  </si>
  <si>
    <t xml:space="preserve">DMP/A.LES.26.01044</t>
  </si>
  <si>
    <t xml:space="preserve">DMP/A.LES.26.01050</t>
  </si>
  <si>
    <t xml:space="preserve">DMP/A.LES.26.01973</t>
  </si>
  <si>
    <t xml:space="preserve">GNA  0112</t>
  </si>
  <si>
    <t xml:space="preserve">DMP/A.LES.26.01047</t>
  </si>
  <si>
    <t xml:space="preserve">DMP/A.LES.26.01969</t>
  </si>
  <si>
    <t xml:space="preserve">DMP/A.LES.26.01051</t>
  </si>
  <si>
    <t xml:space="preserve">DMP/A.LES.26.01052</t>
  </si>
  <si>
    <t xml:space="preserve">DMP/A.LES.26.01045</t>
  </si>
  <si>
    <t xml:space="preserve">DMP/A.LES.26.01055</t>
  </si>
  <si>
    <t xml:space="preserve">DMP/A.LES.26.01061</t>
  </si>
  <si>
    <t xml:space="preserve">DMP/A.LES.26.01073</t>
  </si>
  <si>
    <t xml:space="preserve">DMP/A.LES.26.01084</t>
  </si>
  <si>
    <t xml:space="preserve">DMP/A.LES.26.01090</t>
  </si>
  <si>
    <t xml:space="preserve">DMP/A.LES.26.01046</t>
  </si>
  <si>
    <t xml:space="preserve">DMP/A.LES.26.01972</t>
  </si>
  <si>
    <t xml:space="preserve">DMP/A.LES.26.01975</t>
  </si>
  <si>
    <t xml:space="preserve">GNA  0109</t>
  </si>
  <si>
    <t xml:space="preserve">DMP/A.LES.26.02696</t>
  </si>
  <si>
    <t xml:space="preserve">MOO  0106</t>
  </si>
  <si>
    <t xml:space="preserve">DMP/A.LES.26.02780</t>
  </si>
  <si>
    <t xml:space="preserve">TIR  0109</t>
  </si>
  <si>
    <t xml:space="preserve">DMP/A.LES.26.02785</t>
  </si>
  <si>
    <t xml:space="preserve">DMP/A.LES.26.02791</t>
  </si>
  <si>
    <t xml:space="preserve">DMP/A.LES.26.02821</t>
  </si>
  <si>
    <t xml:space="preserve">DMP/A.LES.26.02822</t>
  </si>
  <si>
    <t xml:space="preserve">DMP/A.LES.26.01968</t>
  </si>
  <si>
    <t xml:space="preserve">DMP/A.LES.26.03038</t>
  </si>
  <si>
    <t xml:space="preserve">LIB // EXEC</t>
  </si>
  <si>
    <t xml:space="preserve">DMP/A.LES.26.03039</t>
  </si>
  <si>
    <t xml:space="preserve">LIB // FISC</t>
  </si>
  <si>
    <t xml:space="preserve">DMP/A.LES.26.03051</t>
  </si>
  <si>
    <t xml:space="preserve">DMP/A.LES.26.03077</t>
  </si>
  <si>
    <t xml:space="preserve">DMP/A.LES.26.03085</t>
  </si>
  <si>
    <t xml:space="preserve">DMP/A.LES.26.01048</t>
  </si>
  <si>
    <t xml:space="preserve">DMP/A.LES.26.03138</t>
  </si>
  <si>
    <t xml:space="preserve">DMP/A.LES.26.03139</t>
  </si>
  <si>
    <t xml:space="preserve">DMP/A.LES.26.03141</t>
  </si>
  <si>
    <t xml:space="preserve">ITN  0110</t>
  </si>
  <si>
    <t xml:space="preserve">DMP/A.LES.26.01049</t>
  </si>
  <si>
    <t xml:space="preserve">DMP/A.LES.26.01962</t>
  </si>
  <si>
    <t xml:space="preserve">GNA  0108</t>
  </si>
  <si>
    <t xml:space="preserve">DMP/A.LES.26.03343</t>
  </si>
  <si>
    <t xml:space="preserve">DMP/A.LES.26.03344</t>
  </si>
  <si>
    <t xml:space="preserve">DMP/A.LES.26.03346</t>
  </si>
  <si>
    <t xml:space="preserve">DMP/A.LES.26.03366</t>
  </si>
  <si>
    <t xml:space="preserve">DMP/A.LES.26.03445</t>
  </si>
  <si>
    <t xml:space="preserve">DMP/A.LES.26.03587</t>
  </si>
  <si>
    <t xml:space="preserve">CLA  0102</t>
  </si>
  <si>
    <t xml:space="preserve">DMP/A.LES.26.04918</t>
  </si>
  <si>
    <t xml:space="preserve">Links de geolocalização – Projetos TOP 40</t>
  </si>
  <si>
    <t xml:space="preserve">https://www.google.com/maps/d/edit?mid=1FhSs4z4XyVo8q6ywBexvTMaPd01oMt0&amp;usp=sharing</t>
  </si>
  <si>
    <t xml:space="preserve">Links por projeto</t>
  </si>
  <si>
    <t xml:space="preserve">Gerados automaticamente a partir das colunas Latitude e Longitude (fórmulas HYPERLINK).</t>
  </si>
  <si>
    <t xml:space="preserve">Se a coordenada mudar</t>
  </si>
  <si>
    <t xml:space="preserve">Basta editar Latitude/Longitude; os links se atualizam sozinhos.</t>
  </si>
  <si>
    <t xml:space="preserve">Projetos sem coordenadas</t>
  </si>
  <si>
    <t xml:space="preserve">DMP/A.LES.26.03188 e DMP/A.LES.26.01969 (Latitude/Longitude vazias na planilha original).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</si>
</sst>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yy"/>
    <numFmt numFmtId="167" formatCode="0.00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d/edit?mid=1FhSs4z4XyVo8q6ywBexvTMaPd01oMt0&amp;usp=sha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5" min="14" style="0" width="14"/>
    <col collapsed="false" customWidth="true" hidden="false" outlineLevel="0" max="16" min="16" style="0" width="26"/>
    <col collapsed="false" customWidth="true" hidden="false" outlineLevel="0" max="17" min="17" style="0" width="16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0" min="20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n">
        <v>3635877</v>
      </c>
      <c r="C2" s="2" t="s">
        <v>21</v>
      </c>
      <c r="D2" s="2" t="s">
        <v>22</v>
      </c>
      <c r="E2" s="2" t="s">
        <v>22</v>
      </c>
      <c r="F2" s="2" t="s">
        <v>23</v>
      </c>
      <c r="G2" s="2" t="n">
        <v>4610003779</v>
      </c>
      <c r="H2" s="2" t="s">
        <v>24</v>
      </c>
      <c r="I2" s="3" t="n">
        <v>151.85</v>
      </c>
      <c r="J2" s="2" t="s">
        <v>25</v>
      </c>
      <c r="K2" s="2" t="n">
        <v>11</v>
      </c>
      <c r="L2" s="4" t="n">
        <v>46288</v>
      </c>
      <c r="M2" s="2" t="s">
        <v>26</v>
      </c>
      <c r="N2" s="5" t="n">
        <v>-23.63524213</v>
      </c>
      <c r="O2" s="5" t="n">
        <v>-46.52005947</v>
      </c>
      <c r="P2" s="2" t="str">
        <f aca="false">IF(AND(ISNUMBER(N2),ISNUMBER(O2)),SUBSTITUTE(N2,",",".")&amp;","&amp;SUBSTITUTE(O2,",","."),"Sem coordenadas")</f>
        <v>-23.63524213,-46.52005947</v>
      </c>
      <c r="Q2" s="6" t="str">
        <f aca="false">IF(ISNUMBER(N2),HYPERLINK("https://www.google.com/maps/search/?api=1&amp;query="&amp;P2,"Abrir no Maps"),"Sem coordenadas")</f>
        <v>Abrir no Maps</v>
      </c>
      <c r="R2" s="6" t="str">
        <f aca="false">IF(ISNUMBER(N2),HYPERLINK("https://www.google.com/maps/dir/?api=1&amp;destination="&amp;P2,"Traçar rota"),"Sem coordenadas")</f>
        <v>Traçar rota</v>
      </c>
      <c r="S2" s="6" t="str">
        <f aca="false">IF(ISNUMBER(N2),HYPERLINK("https://www.google.com/maps/@?api=1&amp;map_action=pano&amp;viewpoint="&amp;P2,"Street View"),"Sem coordenadas")</f>
        <v>Street View</v>
      </c>
      <c r="T2" s="6" t="str">
        <f aca="false">HYPERLINK("https://www.google.com/maps/d/edit?mid=1FhSs4z4XyVo8q6ywBexvTMaPd01oMt0&amp;usp=sharing","Abrir My Maps")</f>
        <v>Abrir My Maps</v>
      </c>
    </row>
    <row r="3" customFormat="false" ht="15" hidden="false" customHeight="false" outlineLevel="0" collapsed="false">
      <c r="A3" s="2" t="s">
        <v>27</v>
      </c>
      <c r="B3" s="2" t="n">
        <v>3625757</v>
      </c>
      <c r="C3" s="2" t="s">
        <v>21</v>
      </c>
      <c r="D3" s="2" t="s">
        <v>22</v>
      </c>
      <c r="E3" s="2" t="s">
        <v>22</v>
      </c>
      <c r="F3" s="2" t="s">
        <v>28</v>
      </c>
      <c r="G3" s="2" t="n">
        <v>4600004059</v>
      </c>
      <c r="H3" s="2" t="s">
        <v>29</v>
      </c>
      <c r="I3" s="3" t="n">
        <v>93.15</v>
      </c>
      <c r="J3" s="2" t="s">
        <v>30</v>
      </c>
      <c r="K3" s="2" t="n">
        <v>9</v>
      </c>
      <c r="L3" s="4" t="n">
        <v>46083</v>
      </c>
      <c r="M3" s="2" t="s">
        <v>31</v>
      </c>
      <c r="N3" s="5" t="n">
        <v>-23.59445801</v>
      </c>
      <c r="O3" s="5" t="n">
        <v>-46.41924494</v>
      </c>
      <c r="P3" s="2" t="str">
        <f aca="false">IF(AND(ISNUMBER(N3),ISNUMBER(O3)),SUBSTITUTE(N3,",",".")&amp;","&amp;SUBSTITUTE(O3,",","."),"Sem coordenadas")</f>
        <v>-23.59445801,-46.41924494</v>
      </c>
      <c r="Q3" s="6" t="str">
        <f aca="false">IF(ISNUMBER(N3),HYPERLINK("https://www.google.com/maps/search/?api=1&amp;query="&amp;P3,"Abrir no Maps"),"Sem coordenadas")</f>
        <v>Abrir no Maps</v>
      </c>
      <c r="R3" s="6" t="str">
        <f aca="false">IF(ISNUMBER(N3),HYPERLINK("https://www.google.com/maps/dir/?api=1&amp;destination="&amp;P3,"Traçar rota"),"Sem coordenadas")</f>
        <v>Traçar rota</v>
      </c>
      <c r="S3" s="6" t="str">
        <f aca="false">IF(ISNUMBER(N3),HYPERLINK("https://www.google.com/maps/@?api=1&amp;map_action=pano&amp;viewpoint="&amp;P3,"Street View"),"Sem coordenadas")</f>
        <v>Street View</v>
      </c>
      <c r="T3" s="6" t="str">
        <f aca="false">HYPERLINK("https://www.google.com/maps/d/edit?mid=1FhSs4z4XyVo8q6ywBexvTMaPd01oMt0&amp;usp=sharing","Abrir My Maps")</f>
        <v>Abrir My Maps</v>
      </c>
    </row>
    <row r="4" customFormat="false" ht="15" hidden="false" customHeight="false" outlineLevel="0" collapsed="false">
      <c r="A4" s="2" t="s">
        <v>32</v>
      </c>
      <c r="B4" s="2" t="n">
        <v>3635940</v>
      </c>
      <c r="C4" s="2" t="s">
        <v>21</v>
      </c>
      <c r="D4" s="2" t="s">
        <v>22</v>
      </c>
      <c r="E4" s="2" t="s">
        <v>22</v>
      </c>
      <c r="F4" s="2" t="s">
        <v>23</v>
      </c>
      <c r="G4" s="2" t="n">
        <v>4610003779</v>
      </c>
      <c r="H4" s="2" t="s">
        <v>24</v>
      </c>
      <c r="I4" s="3" t="n">
        <v>208.76</v>
      </c>
      <c r="J4" s="2" t="s">
        <v>25</v>
      </c>
      <c r="K4" s="2" t="n">
        <v>11</v>
      </c>
      <c r="L4" s="4" t="n">
        <v>46293</v>
      </c>
      <c r="M4" s="2" t="s">
        <v>33</v>
      </c>
      <c r="N4" s="5" t="n">
        <v>-23.62523142</v>
      </c>
      <c r="O4" s="5" t="n">
        <v>-46.48278927</v>
      </c>
      <c r="P4" s="2" t="str">
        <f aca="false">IF(AND(ISNUMBER(N4),ISNUMBER(O4)),SUBSTITUTE(N4,",",".")&amp;","&amp;SUBSTITUTE(O4,",","."),"Sem coordenadas")</f>
        <v>-23.62523142,-46.48278927</v>
      </c>
      <c r="Q4" s="6" t="str">
        <f aca="false">IF(ISNUMBER(N4),HYPERLINK("https://www.google.com/maps/search/?api=1&amp;query="&amp;P4,"Abrir no Maps"),"Sem coordenadas")</f>
        <v>Abrir no Maps</v>
      </c>
      <c r="R4" s="6" t="str">
        <f aca="false">IF(ISNUMBER(N4),HYPERLINK("https://www.google.com/maps/dir/?api=1&amp;destination="&amp;P4,"Traçar rota"),"Sem coordenadas")</f>
        <v>Traçar rota</v>
      </c>
      <c r="S4" s="6" t="str">
        <f aca="false">IF(ISNUMBER(N4),HYPERLINK("https://www.google.com/maps/@?api=1&amp;map_action=pano&amp;viewpoint="&amp;P4,"Street View"),"Sem coordenadas")</f>
        <v>Street View</v>
      </c>
      <c r="T4" s="6" t="str">
        <f aca="false">HYPERLINK("https://www.google.com/maps/d/edit?mid=1FhSs4z4XyVo8q6ywBexvTMaPd01oMt0&amp;usp=sharing","Abrir My Maps")</f>
        <v>Abrir My Maps</v>
      </c>
    </row>
    <row r="5" customFormat="false" ht="15" hidden="false" customHeight="false" outlineLevel="0" collapsed="false">
      <c r="A5" s="2" t="s">
        <v>34</v>
      </c>
      <c r="B5" s="2" t="n">
        <v>3635943</v>
      </c>
      <c r="C5" s="2" t="s">
        <v>21</v>
      </c>
      <c r="D5" s="2" t="s">
        <v>22</v>
      </c>
      <c r="E5" s="2" t="s">
        <v>22</v>
      </c>
      <c r="F5" s="2" t="s">
        <v>23</v>
      </c>
      <c r="G5" s="2" t="n">
        <v>4610003779</v>
      </c>
      <c r="H5" s="2" t="s">
        <v>24</v>
      </c>
      <c r="I5" s="3" t="n">
        <v>279.1</v>
      </c>
      <c r="J5" s="2" t="s">
        <v>25</v>
      </c>
      <c r="K5" s="2" t="n">
        <v>11</v>
      </c>
      <c r="L5" s="4" t="n">
        <v>46295</v>
      </c>
      <c r="M5" s="2" t="s">
        <v>26</v>
      </c>
      <c r="N5" s="5" t="n">
        <v>-23.63560458</v>
      </c>
      <c r="O5" s="5" t="n">
        <v>-46.51823695</v>
      </c>
      <c r="P5" s="2" t="str">
        <f aca="false">IF(AND(ISNUMBER(N5),ISNUMBER(O5)),SUBSTITUTE(N5,",",".")&amp;","&amp;SUBSTITUTE(O5,",","."),"Sem coordenadas")</f>
        <v>-23.63560458,-46.51823695</v>
      </c>
      <c r="Q5" s="6" t="str">
        <f aca="false">IF(ISNUMBER(N5),HYPERLINK("https://www.google.com/maps/search/?api=1&amp;query="&amp;P5,"Abrir no Maps"),"Sem coordenadas")</f>
        <v>Abrir no Maps</v>
      </c>
      <c r="R5" s="6" t="str">
        <f aca="false">IF(ISNUMBER(N5),HYPERLINK("https://www.google.com/maps/dir/?api=1&amp;destination="&amp;P5,"Traçar rota"),"Sem coordenadas")</f>
        <v>Traçar rota</v>
      </c>
      <c r="S5" s="6" t="str">
        <f aca="false">IF(ISNUMBER(N5),HYPERLINK("https://www.google.com/maps/@?api=1&amp;map_action=pano&amp;viewpoint="&amp;P5,"Street View"),"Sem coordenadas")</f>
        <v>Street View</v>
      </c>
      <c r="T5" s="6" t="str">
        <f aca="false">HYPERLINK("https://www.google.com/maps/d/edit?mid=1FhSs4z4XyVo8q6ywBexvTMaPd01oMt0&amp;usp=sharing","Abrir My Maps")</f>
        <v>Abrir My Maps</v>
      </c>
    </row>
    <row r="6" customFormat="false" ht="15" hidden="false" customHeight="false" outlineLevel="0" collapsed="false">
      <c r="A6" s="2" t="s">
        <v>35</v>
      </c>
      <c r="B6" s="2" t="n">
        <v>3635945</v>
      </c>
      <c r="C6" s="2" t="s">
        <v>21</v>
      </c>
      <c r="D6" s="2" t="s">
        <v>22</v>
      </c>
      <c r="E6" s="2" t="s">
        <v>22</v>
      </c>
      <c r="F6" s="2" t="s">
        <v>36</v>
      </c>
      <c r="G6" s="2" t="n">
        <v>4600004059</v>
      </c>
      <c r="H6" s="2" t="s">
        <v>29</v>
      </c>
      <c r="I6" s="3" t="n">
        <v>485.61</v>
      </c>
      <c r="J6" s="2" t="s">
        <v>25</v>
      </c>
      <c r="K6" s="2" t="n">
        <v>11</v>
      </c>
      <c r="L6" s="4" t="n">
        <v>46261</v>
      </c>
      <c r="M6" s="2" t="s">
        <v>26</v>
      </c>
      <c r="N6" s="5" t="n">
        <v>-23.62540529</v>
      </c>
      <c r="O6" s="5" t="n">
        <v>-46.51097668</v>
      </c>
      <c r="P6" s="2" t="str">
        <f aca="false">IF(AND(ISNUMBER(N6),ISNUMBER(O6)),SUBSTITUTE(N6,",",".")&amp;","&amp;SUBSTITUTE(O6,",","."),"Sem coordenadas")</f>
        <v>-23.62540529,-46.51097668</v>
      </c>
      <c r="Q6" s="6" t="str">
        <f aca="false">IF(ISNUMBER(N6),HYPERLINK("https://www.google.com/maps/search/?api=1&amp;query="&amp;P6,"Abrir no Maps"),"Sem coordenadas")</f>
        <v>Abrir no Maps</v>
      </c>
      <c r="R6" s="6" t="str">
        <f aca="false">IF(ISNUMBER(N6),HYPERLINK("https://www.google.com/maps/dir/?api=1&amp;destination="&amp;P6,"Traçar rota"),"Sem coordenadas")</f>
        <v>Traçar rota</v>
      </c>
      <c r="S6" s="6" t="str">
        <f aca="false">IF(ISNUMBER(N6),HYPERLINK("https://www.google.com/maps/@?api=1&amp;map_action=pano&amp;viewpoint="&amp;P6,"Street View"),"Sem coordenadas")</f>
        <v>Street View</v>
      </c>
      <c r="T6" s="6" t="str">
        <f aca="false">HYPERLINK("https://www.google.com/maps/d/edit?mid=1FhSs4z4XyVo8q6ywBexvTMaPd01oMt0&amp;usp=sharing","Abrir My Maps")</f>
        <v>Abrir My Maps</v>
      </c>
    </row>
    <row r="7" customFormat="false" ht="15" hidden="false" customHeight="false" outlineLevel="0" collapsed="false">
      <c r="A7" s="2" t="s">
        <v>37</v>
      </c>
      <c r="B7" s="2" t="n">
        <v>3625757</v>
      </c>
      <c r="C7" s="2" t="s">
        <v>21</v>
      </c>
      <c r="D7" s="2" t="s">
        <v>22</v>
      </c>
      <c r="E7" s="2" t="s">
        <v>22</v>
      </c>
      <c r="F7" s="2" t="s">
        <v>36</v>
      </c>
      <c r="G7" s="2" t="n">
        <v>4600004059</v>
      </c>
      <c r="H7" s="2" t="s">
        <v>29</v>
      </c>
      <c r="I7" s="3" t="n">
        <v>176.69</v>
      </c>
      <c r="J7" s="2" t="s">
        <v>30</v>
      </c>
      <c r="K7" s="2" t="n">
        <v>9</v>
      </c>
      <c r="L7" s="4" t="n">
        <v>46083</v>
      </c>
      <c r="M7" s="2" t="s">
        <v>31</v>
      </c>
      <c r="N7" s="5" t="n">
        <v>-23.59445801</v>
      </c>
      <c r="O7" s="5" t="n">
        <v>-46.41924494</v>
      </c>
      <c r="P7" s="2" t="str">
        <f aca="false">IF(AND(ISNUMBER(N7),ISNUMBER(O7)),SUBSTITUTE(N7,",",".")&amp;","&amp;SUBSTITUTE(O7,",","."),"Sem coordenadas")</f>
        <v>-23.59445801,-46.41924494</v>
      </c>
      <c r="Q7" s="6" t="str">
        <f aca="false">IF(ISNUMBER(N7),HYPERLINK("https://www.google.com/maps/search/?api=1&amp;query="&amp;P7,"Abrir no Maps"),"Sem coordenadas")</f>
        <v>Abrir no Maps</v>
      </c>
      <c r="R7" s="6" t="str">
        <f aca="false">IF(ISNUMBER(N7),HYPERLINK("https://www.google.com/maps/dir/?api=1&amp;destination="&amp;P7,"Traçar rota"),"Sem coordenadas")</f>
        <v>Traçar rota</v>
      </c>
      <c r="S7" s="6" t="str">
        <f aca="false">IF(ISNUMBER(N7),HYPERLINK("https://www.google.com/maps/@?api=1&amp;map_action=pano&amp;viewpoint="&amp;P7,"Street View"),"Sem coordenadas")</f>
        <v>Street View</v>
      </c>
      <c r="T7" s="6" t="str">
        <f aca="false">HYPERLINK("https://www.google.com/maps/d/edit?mid=1FhSs4z4XyVo8q6ywBexvTMaPd01oMt0&amp;usp=sharing","Abrir My Maps")</f>
        <v>Abrir My Maps</v>
      </c>
    </row>
    <row r="8" customFormat="false" ht="15" hidden="false" customHeight="false" outlineLevel="0" collapsed="false">
      <c r="A8" s="2" t="s">
        <v>38</v>
      </c>
      <c r="B8" s="2" t="n">
        <v>3635947</v>
      </c>
      <c r="C8" s="2" t="s">
        <v>21</v>
      </c>
      <c r="D8" s="2" t="s">
        <v>22</v>
      </c>
      <c r="E8" s="2" t="s">
        <v>22</v>
      </c>
      <c r="F8" s="2" t="s">
        <v>36</v>
      </c>
      <c r="G8" s="2" t="n">
        <v>4600004059</v>
      </c>
      <c r="H8" s="2" t="s">
        <v>29</v>
      </c>
      <c r="I8" s="3" t="n">
        <v>615.92</v>
      </c>
      <c r="J8" s="2" t="s">
        <v>25</v>
      </c>
      <c r="K8" s="2" t="n">
        <v>11</v>
      </c>
      <c r="L8" s="4" t="n">
        <v>46268</v>
      </c>
      <c r="M8" s="2" t="s">
        <v>26</v>
      </c>
      <c r="N8" s="5" t="n">
        <v>-23.62852262</v>
      </c>
      <c r="O8" s="5" t="n">
        <v>-46.50810238</v>
      </c>
      <c r="P8" s="2" t="str">
        <f aca="false">IF(AND(ISNUMBER(N8),ISNUMBER(O8)),SUBSTITUTE(N8,",",".")&amp;","&amp;SUBSTITUTE(O8,",","."),"Sem coordenadas")</f>
        <v>-23.62852262,-46.50810238</v>
      </c>
      <c r="Q8" s="6" t="str">
        <f aca="false">IF(ISNUMBER(N8),HYPERLINK("https://www.google.com/maps/search/?api=1&amp;query="&amp;P8,"Abrir no Maps"),"Sem coordenadas")</f>
        <v>Abrir no Maps</v>
      </c>
      <c r="R8" s="6" t="str">
        <f aca="false">IF(ISNUMBER(N8),HYPERLINK("https://www.google.com/maps/dir/?api=1&amp;destination="&amp;P8,"Traçar rota"),"Sem coordenadas")</f>
        <v>Traçar rota</v>
      </c>
      <c r="S8" s="6" t="str">
        <f aca="false">IF(ISNUMBER(N8),HYPERLINK("https://www.google.com/maps/@?api=1&amp;map_action=pano&amp;viewpoint="&amp;P8,"Street View"),"Sem coordenadas")</f>
        <v>Street View</v>
      </c>
      <c r="T8" s="6" t="str">
        <f aca="false">HYPERLINK("https://www.google.com/maps/d/edit?mid=1FhSs4z4XyVo8q6ywBexvTMaPd01oMt0&amp;usp=sharing","Abrir My Maps")</f>
        <v>Abrir My Maps</v>
      </c>
    </row>
    <row r="9" customFormat="false" ht="15" hidden="false" customHeight="false" outlineLevel="0" collapsed="false">
      <c r="A9" s="2" t="s">
        <v>39</v>
      </c>
      <c r="B9" s="2" t="n">
        <v>3625757</v>
      </c>
      <c r="C9" s="2" t="s">
        <v>21</v>
      </c>
      <c r="D9" s="2" t="s">
        <v>22</v>
      </c>
      <c r="E9" s="2" t="s">
        <v>22</v>
      </c>
      <c r="F9" s="2" t="s">
        <v>36</v>
      </c>
      <c r="G9" s="2" t="n">
        <v>4600004059</v>
      </c>
      <c r="H9" s="2" t="s">
        <v>29</v>
      </c>
      <c r="I9" s="3" t="n">
        <v>253.74</v>
      </c>
      <c r="J9" s="2" t="s">
        <v>30</v>
      </c>
      <c r="K9" s="2" t="n">
        <v>9</v>
      </c>
      <c r="L9" s="4" t="n">
        <v>46083</v>
      </c>
      <c r="M9" s="2" t="s">
        <v>31</v>
      </c>
      <c r="N9" s="5" t="n">
        <v>-23.59445801</v>
      </c>
      <c r="O9" s="5" t="n">
        <v>-46.41924494</v>
      </c>
      <c r="P9" s="2" t="str">
        <f aca="false">IF(AND(ISNUMBER(N9),ISNUMBER(O9)),SUBSTITUTE(N9,",",".")&amp;","&amp;SUBSTITUTE(O9,",","."),"Sem coordenadas")</f>
        <v>-23.59445801,-46.41924494</v>
      </c>
      <c r="Q9" s="6" t="str">
        <f aca="false">IF(ISNUMBER(N9),HYPERLINK("https://www.google.com/maps/search/?api=1&amp;query="&amp;P9,"Abrir no Maps"),"Sem coordenadas")</f>
        <v>Abrir no Maps</v>
      </c>
      <c r="R9" s="6" t="str">
        <f aca="false">IF(ISNUMBER(N9),HYPERLINK("https://www.google.com/maps/dir/?api=1&amp;destination="&amp;P9,"Traçar rota"),"Sem coordenadas")</f>
        <v>Traçar rota</v>
      </c>
      <c r="S9" s="6" t="str">
        <f aca="false">IF(ISNUMBER(N9),HYPERLINK("https://www.google.com/maps/@?api=1&amp;map_action=pano&amp;viewpoint="&amp;P9,"Street View"),"Sem coordenadas")</f>
        <v>Street View</v>
      </c>
      <c r="T9" s="6" t="str">
        <f aca="false">HYPERLINK("https://www.google.com/maps/d/edit?mid=1FhSs4z4XyVo8q6ywBexvTMaPd01oMt0&amp;usp=sharing","Abrir My Maps")</f>
        <v>Abrir My Maps</v>
      </c>
    </row>
    <row r="10" customFormat="false" ht="15" hidden="false" customHeight="false" outlineLevel="0" collapsed="false">
      <c r="A10" s="2" t="s">
        <v>40</v>
      </c>
      <c r="B10" s="2" t="n">
        <v>3625757</v>
      </c>
      <c r="C10" s="2" t="s">
        <v>21</v>
      </c>
      <c r="D10" s="2" t="s">
        <v>22</v>
      </c>
      <c r="E10" s="2" t="s">
        <v>22</v>
      </c>
      <c r="F10" s="2" t="s">
        <v>36</v>
      </c>
      <c r="G10" s="2" t="n">
        <v>4600004059</v>
      </c>
      <c r="H10" s="2" t="s">
        <v>29</v>
      </c>
      <c r="I10" s="3" t="n">
        <v>221.09</v>
      </c>
      <c r="J10" s="2" t="s">
        <v>30</v>
      </c>
      <c r="K10" s="2" t="n">
        <v>9</v>
      </c>
      <c r="L10" s="4" t="n">
        <v>46083</v>
      </c>
      <c r="M10" s="2" t="s">
        <v>31</v>
      </c>
      <c r="N10" s="5" t="n">
        <v>-23.59445801</v>
      </c>
      <c r="O10" s="5" t="n">
        <v>-46.41924494</v>
      </c>
      <c r="P10" s="2" t="str">
        <f aca="false">IF(AND(ISNUMBER(N10),ISNUMBER(O10)),SUBSTITUTE(N10,",",".")&amp;","&amp;SUBSTITUTE(O10,",","."),"Sem coordenadas")</f>
        <v>-23.59445801,-46.41924494</v>
      </c>
      <c r="Q10" s="6" t="str">
        <f aca="false">IF(ISNUMBER(N10),HYPERLINK("https://www.google.com/maps/search/?api=1&amp;query="&amp;P10,"Abrir no Maps"),"Sem coordenadas")</f>
        <v>Abrir no Maps</v>
      </c>
      <c r="R10" s="6" t="str">
        <f aca="false">IF(ISNUMBER(N10),HYPERLINK("https://www.google.com/maps/dir/?api=1&amp;destination="&amp;P10,"Traçar rota"),"Sem coordenadas")</f>
        <v>Traçar rota</v>
      </c>
      <c r="S10" s="6" t="str">
        <f aca="false">IF(ISNUMBER(N10),HYPERLINK("https://www.google.com/maps/@?api=1&amp;map_action=pano&amp;viewpoint="&amp;P10,"Street View"),"Sem coordenadas")</f>
        <v>Street View</v>
      </c>
      <c r="T10" s="6" t="str">
        <f aca="false">HYPERLINK("https://www.google.com/maps/d/edit?mid=1FhSs4z4XyVo8q6ywBexvTMaPd01oMt0&amp;usp=sharing","Abrir My Maps")</f>
        <v>Abrir My Maps</v>
      </c>
    </row>
    <row r="11" customFormat="false" ht="15" hidden="false" customHeight="false" outlineLevel="0" collapsed="false">
      <c r="A11" s="2" t="s">
        <v>41</v>
      </c>
      <c r="B11" s="2" t="n">
        <v>3632492</v>
      </c>
      <c r="C11" s="2" t="s">
        <v>21</v>
      </c>
      <c r="D11" s="2" t="s">
        <v>22</v>
      </c>
      <c r="E11" s="2" t="s">
        <v>22</v>
      </c>
      <c r="F11" s="2" t="s">
        <v>28</v>
      </c>
      <c r="G11" s="2" t="n">
        <v>4600004059</v>
      </c>
      <c r="H11" s="2" t="s">
        <v>29</v>
      </c>
      <c r="I11" s="3" t="n">
        <v>189.52</v>
      </c>
      <c r="J11" s="2" t="s">
        <v>30</v>
      </c>
      <c r="K11" s="2" t="n">
        <v>9</v>
      </c>
      <c r="L11" s="4" t="n">
        <v>46154</v>
      </c>
      <c r="M11" s="2" t="s">
        <v>31</v>
      </c>
      <c r="N11" s="5" t="n">
        <v>-23.59140625</v>
      </c>
      <c r="O11" s="5" t="n">
        <v>-46.42377922</v>
      </c>
      <c r="P11" s="2" t="str">
        <f aca="false">IF(AND(ISNUMBER(N11),ISNUMBER(O11)),SUBSTITUTE(N11,",",".")&amp;","&amp;SUBSTITUTE(O11,",","."),"Sem coordenadas")</f>
        <v>-23.59140625,-46.42377922</v>
      </c>
      <c r="Q11" s="6" t="str">
        <f aca="false">IF(ISNUMBER(N11),HYPERLINK("https://www.google.com/maps/search/?api=1&amp;query="&amp;P11,"Abrir no Maps"),"Sem coordenadas")</f>
        <v>Abrir no Maps</v>
      </c>
      <c r="R11" s="6" t="str">
        <f aca="false">IF(ISNUMBER(N11),HYPERLINK("https://www.google.com/maps/dir/?api=1&amp;destination="&amp;P11,"Traçar rota"),"Sem coordenadas")</f>
        <v>Traçar rota</v>
      </c>
      <c r="S11" s="6" t="str">
        <f aca="false">IF(ISNUMBER(N11),HYPERLINK("https://www.google.com/maps/@?api=1&amp;map_action=pano&amp;viewpoint="&amp;P11,"Street View"),"Sem coordenadas")</f>
        <v>Street View</v>
      </c>
      <c r="T11" s="6" t="str">
        <f aca="false">HYPERLINK("https://www.google.com/maps/d/edit?mid=1FhSs4z4XyVo8q6ywBexvTMaPd01oMt0&amp;usp=sharing","Abrir My Maps")</f>
        <v>Abrir My Maps</v>
      </c>
    </row>
    <row r="12" customFormat="false" ht="15" hidden="false" customHeight="false" outlineLevel="0" collapsed="false">
      <c r="A12" s="2" t="s">
        <v>42</v>
      </c>
      <c r="B12" s="2" t="n">
        <v>3635949</v>
      </c>
      <c r="C12" s="2" t="s">
        <v>21</v>
      </c>
      <c r="D12" s="2" t="s">
        <v>22</v>
      </c>
      <c r="E12" s="2" t="s">
        <v>22</v>
      </c>
      <c r="F12" s="2" t="s">
        <v>23</v>
      </c>
      <c r="G12" s="2" t="n">
        <v>4610003779</v>
      </c>
      <c r="H12" s="2" t="s">
        <v>24</v>
      </c>
      <c r="I12" s="3" t="n">
        <v>26.98</v>
      </c>
      <c r="J12" s="2" t="s">
        <v>43</v>
      </c>
      <c r="K12" s="2" t="n">
        <v>11</v>
      </c>
      <c r="L12" s="4" t="n">
        <v>46273</v>
      </c>
      <c r="M12" s="2" t="s">
        <v>26</v>
      </c>
      <c r="N12" s="5" t="n">
        <v>-23.63061706</v>
      </c>
      <c r="O12" s="5" t="n">
        <v>-46.50734322</v>
      </c>
      <c r="P12" s="2" t="str">
        <f aca="false">IF(AND(ISNUMBER(N12),ISNUMBER(O12)),SUBSTITUTE(N12,",",".")&amp;","&amp;SUBSTITUTE(O12,",","."),"Sem coordenadas")</f>
        <v>-23.63061706,-46.50734322</v>
      </c>
      <c r="Q12" s="6" t="str">
        <f aca="false">IF(ISNUMBER(N12),HYPERLINK("https://www.google.com/maps/search/?api=1&amp;query="&amp;P12,"Abrir no Maps"),"Sem coordenadas")</f>
        <v>Abrir no Maps</v>
      </c>
      <c r="R12" s="6" t="str">
        <f aca="false">IF(ISNUMBER(N12),HYPERLINK("https://www.google.com/maps/dir/?api=1&amp;destination="&amp;P12,"Traçar rota"),"Sem coordenadas")</f>
        <v>Traçar rota</v>
      </c>
      <c r="S12" s="6" t="str">
        <f aca="false">IF(ISNUMBER(N12),HYPERLINK("https://www.google.com/maps/@?api=1&amp;map_action=pano&amp;viewpoint="&amp;P12,"Street View"),"Sem coordenadas")</f>
        <v>Street View</v>
      </c>
      <c r="T12" s="6" t="str">
        <f aca="false">HYPERLINK("https://www.google.com/maps/d/edit?mid=1FhSs4z4XyVo8q6ywBexvTMaPd01oMt0&amp;usp=sharing","Abrir My Maps")</f>
        <v>Abrir My Maps</v>
      </c>
    </row>
    <row r="13" customFormat="false" ht="15" hidden="false" customHeight="false" outlineLevel="0" collapsed="false">
      <c r="A13" s="2" t="s">
        <v>44</v>
      </c>
      <c r="B13" s="2" t="n">
        <v>3632482</v>
      </c>
      <c r="C13" s="2" t="s">
        <v>21</v>
      </c>
      <c r="D13" s="2" t="s">
        <v>22</v>
      </c>
      <c r="E13" s="2" t="s">
        <v>22</v>
      </c>
      <c r="F13" s="2" t="s">
        <v>36</v>
      </c>
      <c r="G13" s="2" t="n">
        <v>4600004059</v>
      </c>
      <c r="H13" s="2" t="s">
        <v>29</v>
      </c>
      <c r="I13" s="3" t="n">
        <v>201.26</v>
      </c>
      <c r="J13" s="2" t="s">
        <v>45</v>
      </c>
      <c r="K13" s="2" t="n">
        <v>9</v>
      </c>
      <c r="L13" s="4" t="n">
        <v>46150</v>
      </c>
      <c r="M13" s="2" t="s">
        <v>31</v>
      </c>
      <c r="N13" s="5"/>
      <c r="O13" s="5"/>
      <c r="P13" s="2" t="str">
        <f aca="false">IF(AND(ISNUMBER(N13),ISNUMBER(O13)),SUBSTITUTE(N13,",",".")&amp;","&amp;SUBSTITUTE(O13,",","."),"Sem coordenadas")</f>
        <v>Sem coordenadas</v>
      </c>
      <c r="Q13" s="6" t="str">
        <f aca="false">IF(ISNUMBER(N13),HYPERLINK("https://www.google.com/maps/search/?api=1&amp;query="&amp;P13,"Abrir no Maps"),"Sem coordenadas")</f>
        <v>Sem coordenadas</v>
      </c>
      <c r="R13" s="6" t="str">
        <f aca="false">IF(ISNUMBER(N13),HYPERLINK("https://www.google.com/maps/dir/?api=1&amp;destination="&amp;P13,"Traçar rota"),"Sem coordenadas")</f>
        <v>Sem coordenadas</v>
      </c>
      <c r="S13" s="6" t="str">
        <f aca="false">IF(ISNUMBER(N13),HYPERLINK("https://www.google.com/maps/@?api=1&amp;map_action=pano&amp;viewpoint="&amp;P13,"Street View"),"Sem coordenadas")</f>
        <v>Sem coordenadas</v>
      </c>
      <c r="T13" s="6" t="str">
        <f aca="false">HYPERLINK("https://www.google.com/maps/d/edit?mid=1FhSs4z4XyVo8q6ywBexvTMaPd01oMt0&amp;usp=sharing","Abrir My Maps")</f>
        <v>Abrir My Maps</v>
      </c>
    </row>
    <row r="14" customFormat="false" ht="15" hidden="false" customHeight="false" outlineLevel="0" collapsed="false">
      <c r="A14" s="2" t="s">
        <v>46</v>
      </c>
      <c r="B14" s="2" t="n">
        <v>3632492</v>
      </c>
      <c r="C14" s="2" t="s">
        <v>21</v>
      </c>
      <c r="D14" s="2" t="s">
        <v>22</v>
      </c>
      <c r="E14" s="2" t="s">
        <v>22</v>
      </c>
      <c r="F14" s="2" t="s">
        <v>36</v>
      </c>
      <c r="G14" s="2" t="n">
        <v>4600004059</v>
      </c>
      <c r="H14" s="2" t="s">
        <v>29</v>
      </c>
      <c r="I14" s="3" t="n">
        <v>207.05</v>
      </c>
      <c r="J14" s="2" t="s">
        <v>30</v>
      </c>
      <c r="K14" s="2" t="n">
        <v>9</v>
      </c>
      <c r="L14" s="4" t="n">
        <v>46157</v>
      </c>
      <c r="M14" s="2" t="s">
        <v>31</v>
      </c>
      <c r="N14" s="5" t="n">
        <v>-23.59140625</v>
      </c>
      <c r="O14" s="5" t="n">
        <v>-46.42377922</v>
      </c>
      <c r="P14" s="2" t="str">
        <f aca="false">IF(AND(ISNUMBER(N14),ISNUMBER(O14)),SUBSTITUTE(N14,",",".")&amp;","&amp;SUBSTITUTE(O14,",","."),"Sem coordenadas")</f>
        <v>-23.59140625,-46.42377922</v>
      </c>
      <c r="Q14" s="6" t="str">
        <f aca="false">IF(ISNUMBER(N14),HYPERLINK("https://www.google.com/maps/search/?api=1&amp;query="&amp;P14,"Abrir no Maps"),"Sem coordenadas")</f>
        <v>Abrir no Maps</v>
      </c>
      <c r="R14" s="6" t="str">
        <f aca="false">IF(ISNUMBER(N14),HYPERLINK("https://www.google.com/maps/dir/?api=1&amp;destination="&amp;P14,"Traçar rota"),"Sem coordenadas")</f>
        <v>Traçar rota</v>
      </c>
      <c r="S14" s="6" t="str">
        <f aca="false">IF(ISNUMBER(N14),HYPERLINK("https://www.google.com/maps/@?api=1&amp;map_action=pano&amp;viewpoint="&amp;P14,"Street View"),"Sem coordenadas")</f>
        <v>Street View</v>
      </c>
      <c r="T14" s="6" t="str">
        <f aca="false">HYPERLINK("https://www.google.com/maps/d/edit?mid=1FhSs4z4XyVo8q6ywBexvTMaPd01oMt0&amp;usp=sharing","Abrir My Maps")</f>
        <v>Abrir My Maps</v>
      </c>
    </row>
    <row r="15" customFormat="false" ht="15" hidden="false" customHeight="false" outlineLevel="0" collapsed="false">
      <c r="A15" s="2" t="s">
        <v>47</v>
      </c>
      <c r="B15" s="2" t="n">
        <v>3625757</v>
      </c>
      <c r="C15" s="2" t="s">
        <v>21</v>
      </c>
      <c r="D15" s="2" t="s">
        <v>22</v>
      </c>
      <c r="E15" s="2" t="s">
        <v>22</v>
      </c>
      <c r="F15" s="2" t="s">
        <v>36</v>
      </c>
      <c r="G15" s="2" t="n">
        <v>4600004059</v>
      </c>
      <c r="H15" s="2" t="s">
        <v>29</v>
      </c>
      <c r="I15" s="3" t="n">
        <v>177.85</v>
      </c>
      <c r="J15" s="2" t="s">
        <v>30</v>
      </c>
      <c r="K15" s="2" t="n">
        <v>9</v>
      </c>
      <c r="L15" s="4" t="n">
        <v>46083</v>
      </c>
      <c r="M15" s="2" t="s">
        <v>31</v>
      </c>
      <c r="N15" s="5" t="n">
        <v>-23.59445801</v>
      </c>
      <c r="O15" s="5" t="n">
        <v>-46.41924494</v>
      </c>
      <c r="P15" s="2" t="str">
        <f aca="false">IF(AND(ISNUMBER(N15),ISNUMBER(O15)),SUBSTITUTE(N15,",",".")&amp;","&amp;SUBSTITUTE(O15,",","."),"Sem coordenadas")</f>
        <v>-23.59445801,-46.41924494</v>
      </c>
      <c r="Q15" s="6" t="str">
        <f aca="false">IF(ISNUMBER(N15),HYPERLINK("https://www.google.com/maps/search/?api=1&amp;query="&amp;P15,"Abrir no Maps"),"Sem coordenadas")</f>
        <v>Abrir no Maps</v>
      </c>
      <c r="R15" s="6" t="str">
        <f aca="false">IF(ISNUMBER(N15),HYPERLINK("https://www.google.com/maps/dir/?api=1&amp;destination="&amp;P15,"Traçar rota"),"Sem coordenadas")</f>
        <v>Traçar rota</v>
      </c>
      <c r="S15" s="6" t="str">
        <f aca="false">IF(ISNUMBER(N15),HYPERLINK("https://www.google.com/maps/@?api=1&amp;map_action=pano&amp;viewpoint="&amp;P15,"Street View"),"Sem coordenadas")</f>
        <v>Street View</v>
      </c>
      <c r="T15" s="6" t="str">
        <f aca="false">HYPERLINK("https://www.google.com/maps/d/edit?mid=1FhSs4z4XyVo8q6ywBexvTMaPd01oMt0&amp;usp=sharing","Abrir My Maps")</f>
        <v>Abrir My Maps</v>
      </c>
    </row>
    <row r="16" customFormat="false" ht="15" hidden="false" customHeight="false" outlineLevel="0" collapsed="false">
      <c r="A16" s="2" t="s">
        <v>48</v>
      </c>
      <c r="B16" s="2" t="n">
        <v>3625757</v>
      </c>
      <c r="C16" s="2" t="s">
        <v>21</v>
      </c>
      <c r="D16" s="2" t="s">
        <v>22</v>
      </c>
      <c r="E16" s="2" t="s">
        <v>22</v>
      </c>
      <c r="F16" s="2" t="s">
        <v>36</v>
      </c>
      <c r="G16" s="2" t="n">
        <v>4600004059</v>
      </c>
      <c r="H16" s="2" t="s">
        <v>29</v>
      </c>
      <c r="I16" s="3" t="n">
        <v>162.16</v>
      </c>
      <c r="J16" s="2" t="s">
        <v>30</v>
      </c>
      <c r="K16" s="2" t="n">
        <v>9</v>
      </c>
      <c r="L16" s="4" t="n">
        <v>46083</v>
      </c>
      <c r="M16" s="2" t="s">
        <v>31</v>
      </c>
      <c r="N16" s="5" t="n">
        <v>-23.59445801</v>
      </c>
      <c r="O16" s="5" t="n">
        <v>-46.41924494</v>
      </c>
      <c r="P16" s="2" t="str">
        <f aca="false">IF(AND(ISNUMBER(N16),ISNUMBER(O16)),SUBSTITUTE(N16,",",".")&amp;","&amp;SUBSTITUTE(O16,",","."),"Sem coordenadas")</f>
        <v>-23.59445801,-46.41924494</v>
      </c>
      <c r="Q16" s="6" t="str">
        <f aca="false">IF(ISNUMBER(N16),HYPERLINK("https://www.google.com/maps/search/?api=1&amp;query="&amp;P16,"Abrir no Maps"),"Sem coordenadas")</f>
        <v>Abrir no Maps</v>
      </c>
      <c r="R16" s="6" t="str">
        <f aca="false">IF(ISNUMBER(N16),HYPERLINK("https://www.google.com/maps/dir/?api=1&amp;destination="&amp;P16,"Traçar rota"),"Sem coordenadas")</f>
        <v>Traçar rota</v>
      </c>
      <c r="S16" s="6" t="str">
        <f aca="false">IF(ISNUMBER(N16),HYPERLINK("https://www.google.com/maps/@?api=1&amp;map_action=pano&amp;viewpoint="&amp;P16,"Street View"),"Sem coordenadas")</f>
        <v>Street View</v>
      </c>
      <c r="T16" s="6" t="str">
        <f aca="false">HYPERLINK("https://www.google.com/maps/d/edit?mid=1FhSs4z4XyVo8q6ywBexvTMaPd01oMt0&amp;usp=sharing","Abrir My Maps")</f>
        <v>Abrir My Maps</v>
      </c>
    </row>
    <row r="17" customFormat="false" ht="15" hidden="false" customHeight="false" outlineLevel="0" collapsed="false">
      <c r="A17" s="2" t="s">
        <v>49</v>
      </c>
      <c r="B17" s="2" t="n">
        <v>3635945</v>
      </c>
      <c r="C17" s="2" t="s">
        <v>21</v>
      </c>
      <c r="D17" s="2" t="s">
        <v>22</v>
      </c>
      <c r="E17" s="2" t="s">
        <v>22</v>
      </c>
      <c r="F17" s="2" t="s">
        <v>36</v>
      </c>
      <c r="G17" s="2" t="n">
        <v>4600004059</v>
      </c>
      <c r="H17" s="2" t="s">
        <v>29</v>
      </c>
      <c r="I17" s="3" t="n">
        <v>224.3</v>
      </c>
      <c r="J17" s="2" t="s">
        <v>25</v>
      </c>
      <c r="K17" s="2" t="n">
        <v>11</v>
      </c>
      <c r="L17" s="4" t="n">
        <v>46265</v>
      </c>
      <c r="M17" s="2" t="s">
        <v>26</v>
      </c>
      <c r="N17" s="5" t="n">
        <v>-23.62540529</v>
      </c>
      <c r="O17" s="5" t="n">
        <v>-46.51097668</v>
      </c>
      <c r="P17" s="2" t="str">
        <f aca="false">IF(AND(ISNUMBER(N17),ISNUMBER(O17)),SUBSTITUTE(N17,",",".")&amp;","&amp;SUBSTITUTE(O17,",","."),"Sem coordenadas")</f>
        <v>-23.62540529,-46.51097668</v>
      </c>
      <c r="Q17" s="6" t="str">
        <f aca="false">IF(ISNUMBER(N17),HYPERLINK("https://www.google.com/maps/search/?api=1&amp;query="&amp;P17,"Abrir no Maps"),"Sem coordenadas")</f>
        <v>Abrir no Maps</v>
      </c>
      <c r="R17" s="6" t="str">
        <f aca="false">IF(ISNUMBER(N17),HYPERLINK("https://www.google.com/maps/dir/?api=1&amp;destination="&amp;P17,"Traçar rota"),"Sem coordenadas")</f>
        <v>Traçar rota</v>
      </c>
      <c r="S17" s="6" t="str">
        <f aca="false">IF(ISNUMBER(N17),HYPERLINK("https://www.google.com/maps/@?api=1&amp;map_action=pano&amp;viewpoint="&amp;P17,"Street View"),"Sem coordenadas")</f>
        <v>Street View</v>
      </c>
      <c r="T17" s="6" t="str">
        <f aca="false">HYPERLINK("https://www.google.com/maps/d/edit?mid=1FhSs4z4XyVo8q6ywBexvTMaPd01oMt0&amp;usp=sharing","Abrir My Maps")</f>
        <v>Abrir My Maps</v>
      </c>
    </row>
    <row r="18" customFormat="false" ht="15" hidden="false" customHeight="false" outlineLevel="0" collapsed="false">
      <c r="A18" s="2" t="s">
        <v>50</v>
      </c>
      <c r="B18" s="2" t="n">
        <v>3635945</v>
      </c>
      <c r="C18" s="2" t="s">
        <v>21</v>
      </c>
      <c r="D18" s="2" t="s">
        <v>22</v>
      </c>
      <c r="E18" s="2" t="s">
        <v>22</v>
      </c>
      <c r="F18" s="2" t="s">
        <v>23</v>
      </c>
      <c r="G18" s="2" t="n">
        <v>4610003779</v>
      </c>
      <c r="H18" s="2" t="s">
        <v>24</v>
      </c>
      <c r="I18" s="3" t="n">
        <v>289.19</v>
      </c>
      <c r="J18" s="2" t="s">
        <v>25</v>
      </c>
      <c r="K18" s="2" t="n">
        <v>11</v>
      </c>
      <c r="L18" s="4" t="n">
        <v>46269</v>
      </c>
      <c r="M18" s="2" t="s">
        <v>26</v>
      </c>
      <c r="N18" s="5" t="n">
        <v>-23.62540529</v>
      </c>
      <c r="O18" s="5" t="n">
        <v>-46.51097668</v>
      </c>
      <c r="P18" s="2" t="str">
        <f aca="false">IF(AND(ISNUMBER(N18),ISNUMBER(O18)),SUBSTITUTE(N18,",",".")&amp;","&amp;SUBSTITUTE(O18,",","."),"Sem coordenadas")</f>
        <v>-23.62540529,-46.51097668</v>
      </c>
      <c r="Q18" s="6" t="str">
        <f aca="false">IF(ISNUMBER(N18),HYPERLINK("https://www.google.com/maps/search/?api=1&amp;query="&amp;P18,"Abrir no Maps"),"Sem coordenadas")</f>
        <v>Abrir no Maps</v>
      </c>
      <c r="R18" s="6" t="str">
        <f aca="false">IF(ISNUMBER(N18),HYPERLINK("https://www.google.com/maps/dir/?api=1&amp;destination="&amp;P18,"Traçar rota"),"Sem coordenadas")</f>
        <v>Traçar rota</v>
      </c>
      <c r="S18" s="6" t="str">
        <f aca="false">IF(ISNUMBER(N18),HYPERLINK("https://www.google.com/maps/@?api=1&amp;map_action=pano&amp;viewpoint="&amp;P18,"Street View"),"Sem coordenadas")</f>
        <v>Street View</v>
      </c>
      <c r="T18" s="6" t="str">
        <f aca="false">HYPERLINK("https://www.google.com/maps/d/edit?mid=1FhSs4z4XyVo8q6ywBexvTMaPd01oMt0&amp;usp=sharing","Abrir My Maps")</f>
        <v>Abrir My Maps</v>
      </c>
    </row>
    <row r="19" customFormat="false" ht="15" hidden="false" customHeight="false" outlineLevel="0" collapsed="false">
      <c r="A19" s="2" t="s">
        <v>51</v>
      </c>
      <c r="B19" s="2" t="n">
        <v>3635945</v>
      </c>
      <c r="C19" s="2" t="s">
        <v>21</v>
      </c>
      <c r="D19" s="2" t="s">
        <v>22</v>
      </c>
      <c r="E19" s="2" t="s">
        <v>22</v>
      </c>
      <c r="F19" s="2" t="s">
        <v>36</v>
      </c>
      <c r="G19" s="2" t="n">
        <v>4600004059</v>
      </c>
      <c r="H19" s="2" t="s">
        <v>29</v>
      </c>
      <c r="I19" s="3" t="n">
        <v>306.9</v>
      </c>
      <c r="J19" s="2" t="s">
        <v>25</v>
      </c>
      <c r="K19" s="2" t="n">
        <v>11</v>
      </c>
      <c r="L19" s="4" t="n">
        <v>46265</v>
      </c>
      <c r="M19" s="2" t="s">
        <v>26</v>
      </c>
      <c r="N19" s="5" t="n">
        <v>-23.62540529</v>
      </c>
      <c r="O19" s="5" t="n">
        <v>-46.51097668</v>
      </c>
      <c r="P19" s="2" t="str">
        <f aca="false">IF(AND(ISNUMBER(N19),ISNUMBER(O19)),SUBSTITUTE(N19,",",".")&amp;","&amp;SUBSTITUTE(O19,",","."),"Sem coordenadas")</f>
        <v>-23.62540529,-46.51097668</v>
      </c>
      <c r="Q19" s="6" t="str">
        <f aca="false">IF(ISNUMBER(N19),HYPERLINK("https://www.google.com/maps/search/?api=1&amp;query="&amp;P19,"Abrir no Maps"),"Sem coordenadas")</f>
        <v>Abrir no Maps</v>
      </c>
      <c r="R19" s="6" t="str">
        <f aca="false">IF(ISNUMBER(N19),HYPERLINK("https://www.google.com/maps/dir/?api=1&amp;destination="&amp;P19,"Traçar rota"),"Sem coordenadas")</f>
        <v>Traçar rota</v>
      </c>
      <c r="S19" s="6" t="str">
        <f aca="false">IF(ISNUMBER(N19),HYPERLINK("https://www.google.com/maps/@?api=1&amp;map_action=pano&amp;viewpoint="&amp;P19,"Street View"),"Sem coordenadas")</f>
        <v>Street View</v>
      </c>
      <c r="T19" s="6" t="str">
        <f aca="false">HYPERLINK("https://www.google.com/maps/d/edit?mid=1FhSs4z4XyVo8q6ywBexvTMaPd01oMt0&amp;usp=sharing","Abrir My Maps")</f>
        <v>Abrir My Maps</v>
      </c>
    </row>
    <row r="20" customFormat="false" ht="15" hidden="false" customHeight="false" outlineLevel="0" collapsed="false">
      <c r="A20" s="2" t="s">
        <v>52</v>
      </c>
      <c r="B20" s="2" t="n">
        <v>3635945</v>
      </c>
      <c r="C20" s="2" t="s">
        <v>21</v>
      </c>
      <c r="D20" s="2" t="s">
        <v>22</v>
      </c>
      <c r="E20" s="2" t="s">
        <v>22</v>
      </c>
      <c r="F20" s="2" t="s">
        <v>23</v>
      </c>
      <c r="G20" s="2" t="n">
        <v>4610003779</v>
      </c>
      <c r="H20" s="2" t="s">
        <v>24</v>
      </c>
      <c r="I20" s="3" t="n">
        <v>451.18</v>
      </c>
      <c r="J20" s="2" t="s">
        <v>25</v>
      </c>
      <c r="K20" s="2" t="n">
        <v>11</v>
      </c>
      <c r="L20" s="4" t="n">
        <v>46269</v>
      </c>
      <c r="M20" s="2" t="s">
        <v>26</v>
      </c>
      <c r="N20" s="5" t="n">
        <v>-23.62540529</v>
      </c>
      <c r="O20" s="5" t="n">
        <v>-46.51097668</v>
      </c>
      <c r="P20" s="2" t="str">
        <f aca="false">IF(AND(ISNUMBER(N20),ISNUMBER(O20)),SUBSTITUTE(N20,",",".")&amp;","&amp;SUBSTITUTE(O20,",","."),"Sem coordenadas")</f>
        <v>-23.62540529,-46.51097668</v>
      </c>
      <c r="Q20" s="6" t="str">
        <f aca="false">IF(ISNUMBER(N20),HYPERLINK("https://www.google.com/maps/search/?api=1&amp;query="&amp;P20,"Abrir no Maps"),"Sem coordenadas")</f>
        <v>Abrir no Maps</v>
      </c>
      <c r="R20" s="6" t="str">
        <f aca="false">IF(ISNUMBER(N20),HYPERLINK("https://www.google.com/maps/dir/?api=1&amp;destination="&amp;P20,"Traçar rota"),"Sem coordenadas")</f>
        <v>Traçar rota</v>
      </c>
      <c r="S20" s="6" t="str">
        <f aca="false">IF(ISNUMBER(N20),HYPERLINK("https://www.google.com/maps/@?api=1&amp;map_action=pano&amp;viewpoint="&amp;P20,"Street View"),"Sem coordenadas")</f>
        <v>Street View</v>
      </c>
      <c r="T20" s="6" t="str">
        <f aca="false">HYPERLINK("https://www.google.com/maps/d/edit?mid=1FhSs4z4XyVo8q6ywBexvTMaPd01oMt0&amp;usp=sharing","Abrir My Maps")</f>
        <v>Abrir My Maps</v>
      </c>
    </row>
    <row r="21" customFormat="false" ht="15" hidden="false" customHeight="false" outlineLevel="0" collapsed="false">
      <c r="A21" s="2" t="s">
        <v>53</v>
      </c>
      <c r="B21" s="2" t="n">
        <v>3635945</v>
      </c>
      <c r="C21" s="2" t="s">
        <v>21</v>
      </c>
      <c r="D21" s="2" t="s">
        <v>22</v>
      </c>
      <c r="E21" s="2" t="s">
        <v>22</v>
      </c>
      <c r="F21" s="2" t="s">
        <v>23</v>
      </c>
      <c r="G21" s="2" t="n">
        <v>4610003779</v>
      </c>
      <c r="H21" s="2" t="s">
        <v>24</v>
      </c>
      <c r="I21" s="3" t="n">
        <v>732.46</v>
      </c>
      <c r="J21" s="2" t="s">
        <v>25</v>
      </c>
      <c r="K21" s="2" t="n">
        <v>11</v>
      </c>
      <c r="L21" s="4" t="n">
        <v>46280</v>
      </c>
      <c r="M21" s="2" t="s">
        <v>26</v>
      </c>
      <c r="N21" s="5" t="n">
        <v>-23.62540529</v>
      </c>
      <c r="O21" s="5" t="n">
        <v>-46.51097668</v>
      </c>
      <c r="P21" s="2" t="str">
        <f aca="false">IF(AND(ISNUMBER(N21),ISNUMBER(O21)),SUBSTITUTE(N21,",",".")&amp;","&amp;SUBSTITUTE(O21,",","."),"Sem coordenadas")</f>
        <v>-23.62540529,-46.51097668</v>
      </c>
      <c r="Q21" s="6" t="str">
        <f aca="false">IF(ISNUMBER(N21),HYPERLINK("https://www.google.com/maps/search/?api=1&amp;query="&amp;P21,"Abrir no Maps"),"Sem coordenadas")</f>
        <v>Abrir no Maps</v>
      </c>
      <c r="R21" s="6" t="str">
        <f aca="false">IF(ISNUMBER(N21),HYPERLINK("https://www.google.com/maps/dir/?api=1&amp;destination="&amp;P21,"Traçar rota"),"Sem coordenadas")</f>
        <v>Traçar rota</v>
      </c>
      <c r="S21" s="6" t="str">
        <f aca="false">IF(ISNUMBER(N21),HYPERLINK("https://www.google.com/maps/@?api=1&amp;map_action=pano&amp;viewpoint="&amp;P21,"Street View"),"Sem coordenadas")</f>
        <v>Street View</v>
      </c>
      <c r="T21" s="6" t="str">
        <f aca="false">HYPERLINK("https://www.google.com/maps/d/edit?mid=1FhSs4z4XyVo8q6ywBexvTMaPd01oMt0&amp;usp=sharing","Abrir My Maps")</f>
        <v>Abrir My Maps</v>
      </c>
    </row>
    <row r="22" customFormat="false" ht="15" hidden="false" customHeight="false" outlineLevel="0" collapsed="false">
      <c r="A22" s="2" t="s">
        <v>54</v>
      </c>
      <c r="B22" s="2" t="n">
        <v>3635878</v>
      </c>
      <c r="C22" s="2" t="s">
        <v>21</v>
      </c>
      <c r="D22" s="2" t="s">
        <v>22</v>
      </c>
      <c r="E22" s="2" t="s">
        <v>22</v>
      </c>
      <c r="F22" s="2" t="s">
        <v>23</v>
      </c>
      <c r="G22" s="2" t="n">
        <v>4610003890</v>
      </c>
      <c r="H22" s="2" t="s">
        <v>55</v>
      </c>
      <c r="I22" s="3" t="n">
        <v>98.31</v>
      </c>
      <c r="J22" s="2" t="s">
        <v>25</v>
      </c>
      <c r="K22" s="2" t="n">
        <v>11</v>
      </c>
      <c r="L22" s="4" t="n">
        <v>46269</v>
      </c>
      <c r="M22" s="2" t="s">
        <v>26</v>
      </c>
      <c r="N22" s="5" t="n">
        <v>-23.62982764</v>
      </c>
      <c r="O22" s="5" t="n">
        <v>-46.50763705</v>
      </c>
      <c r="P22" s="2" t="str">
        <f aca="false">IF(AND(ISNUMBER(N22),ISNUMBER(O22)),SUBSTITUTE(N22,",",".")&amp;","&amp;SUBSTITUTE(O22,",","."),"Sem coordenadas")</f>
        <v>-23.62982764,-46.50763705</v>
      </c>
      <c r="Q22" s="6" t="str">
        <f aca="false">IF(ISNUMBER(N22),HYPERLINK("https://www.google.com/maps/search/?api=1&amp;query="&amp;P22,"Abrir no Maps"),"Sem coordenadas")</f>
        <v>Abrir no Maps</v>
      </c>
      <c r="R22" s="6" t="str">
        <f aca="false">IF(ISNUMBER(N22),HYPERLINK("https://www.google.com/maps/dir/?api=1&amp;destination="&amp;P22,"Traçar rota"),"Sem coordenadas")</f>
        <v>Traçar rota</v>
      </c>
      <c r="S22" s="6" t="str">
        <f aca="false">IF(ISNUMBER(N22),HYPERLINK("https://www.google.com/maps/@?api=1&amp;map_action=pano&amp;viewpoint="&amp;P22,"Street View"),"Sem coordenadas")</f>
        <v>Street View</v>
      </c>
      <c r="T22" s="6" t="str">
        <f aca="false">HYPERLINK("https://www.google.com/maps/d/edit?mid=1FhSs4z4XyVo8q6ywBexvTMaPd01oMt0&amp;usp=sharing","Abrir My Maps")</f>
        <v>Abrir My Maps</v>
      </c>
    </row>
    <row r="23" customFormat="false" ht="15" hidden="false" customHeight="false" outlineLevel="0" collapsed="false">
      <c r="A23" s="2" t="s">
        <v>56</v>
      </c>
      <c r="B23" s="2" t="n">
        <v>3635945</v>
      </c>
      <c r="C23" s="2" t="s">
        <v>21</v>
      </c>
      <c r="D23" s="2" t="s">
        <v>22</v>
      </c>
      <c r="E23" s="2" t="s">
        <v>22</v>
      </c>
      <c r="F23" s="2" t="s">
        <v>23</v>
      </c>
      <c r="G23" s="2" t="n">
        <v>4610003779</v>
      </c>
      <c r="H23" s="2" t="s">
        <v>24</v>
      </c>
      <c r="I23" s="3" t="n">
        <v>377.9</v>
      </c>
      <c r="J23" s="2" t="s">
        <v>25</v>
      </c>
      <c r="K23" s="2" t="n">
        <v>11</v>
      </c>
      <c r="L23" s="4" t="n">
        <v>46274</v>
      </c>
      <c r="M23" s="2" t="s">
        <v>26</v>
      </c>
      <c r="N23" s="5" t="n">
        <v>-23.62540529</v>
      </c>
      <c r="O23" s="5" t="n">
        <v>-46.51097668</v>
      </c>
      <c r="P23" s="2" t="str">
        <f aca="false">IF(AND(ISNUMBER(N23),ISNUMBER(O23)),SUBSTITUTE(N23,",",".")&amp;","&amp;SUBSTITUTE(O23,",","."),"Sem coordenadas")</f>
        <v>-23.62540529,-46.51097668</v>
      </c>
      <c r="Q23" s="6" t="str">
        <f aca="false">IF(ISNUMBER(N23),HYPERLINK("https://www.google.com/maps/search/?api=1&amp;query="&amp;P23,"Abrir no Maps"),"Sem coordenadas")</f>
        <v>Abrir no Maps</v>
      </c>
      <c r="R23" s="6" t="str">
        <f aca="false">IF(ISNUMBER(N23),HYPERLINK("https://www.google.com/maps/dir/?api=1&amp;destination="&amp;P23,"Traçar rota"),"Sem coordenadas")</f>
        <v>Traçar rota</v>
      </c>
      <c r="S23" s="6" t="str">
        <f aca="false">IF(ISNUMBER(N23),HYPERLINK("https://www.google.com/maps/@?api=1&amp;map_action=pano&amp;viewpoint="&amp;P23,"Street View"),"Sem coordenadas")</f>
        <v>Street View</v>
      </c>
      <c r="T23" s="6" t="str">
        <f aca="false">HYPERLINK("https://www.google.com/maps/d/edit?mid=1FhSs4z4XyVo8q6ywBexvTMaPd01oMt0&amp;usp=sharing","Abrir My Maps")</f>
        <v>Abrir My Maps</v>
      </c>
    </row>
    <row r="24" customFormat="false" ht="15" hidden="false" customHeight="false" outlineLevel="0" collapsed="false">
      <c r="A24" s="2" t="s">
        <v>57</v>
      </c>
      <c r="B24" s="2" t="n">
        <v>3140883</v>
      </c>
      <c r="C24" s="2" t="s">
        <v>21</v>
      </c>
      <c r="D24" s="2" t="s">
        <v>22</v>
      </c>
      <c r="E24" s="2" t="s">
        <v>22</v>
      </c>
      <c r="F24" s="2" t="s">
        <v>36</v>
      </c>
      <c r="G24" s="2" t="n">
        <v>4600004259</v>
      </c>
      <c r="H24" s="2" t="s">
        <v>24</v>
      </c>
      <c r="I24" s="3" t="n">
        <v>683.7</v>
      </c>
      <c r="J24" s="2" t="s">
        <v>58</v>
      </c>
      <c r="K24" s="2" t="n">
        <v>9</v>
      </c>
      <c r="L24" s="4" t="n">
        <v>44088</v>
      </c>
      <c r="M24" s="2" t="s">
        <v>31</v>
      </c>
      <c r="N24" s="5" t="n">
        <v>-23.53293805</v>
      </c>
      <c r="O24" s="5" t="n">
        <v>-46.47261138</v>
      </c>
      <c r="P24" s="2" t="str">
        <f aca="false">IF(AND(ISNUMBER(N24),ISNUMBER(O24)),SUBSTITUTE(N24,",",".")&amp;","&amp;SUBSTITUTE(O24,",","."),"Sem coordenadas")</f>
        <v>-23.53293805,-46.47261138</v>
      </c>
      <c r="Q24" s="6" t="str">
        <f aca="false">IF(ISNUMBER(N24),HYPERLINK("https://www.google.com/maps/search/?api=1&amp;query="&amp;P24,"Abrir no Maps"),"Sem coordenadas")</f>
        <v>Abrir no Maps</v>
      </c>
      <c r="R24" s="6" t="str">
        <f aca="false">IF(ISNUMBER(N24),HYPERLINK("https://www.google.com/maps/dir/?api=1&amp;destination="&amp;P24,"Traçar rota"),"Sem coordenadas")</f>
        <v>Traçar rota</v>
      </c>
      <c r="S24" s="6" t="str">
        <f aca="false">IF(ISNUMBER(N24),HYPERLINK("https://www.google.com/maps/@?api=1&amp;map_action=pano&amp;viewpoint="&amp;P24,"Street View"),"Sem coordenadas")</f>
        <v>Street View</v>
      </c>
      <c r="T24" s="6" t="str">
        <f aca="false">HYPERLINK("https://www.google.com/maps/d/edit?mid=1FhSs4z4XyVo8q6ywBexvTMaPd01oMt0&amp;usp=sharing","Abrir My Maps")</f>
        <v>Abrir My Maps</v>
      </c>
    </row>
    <row r="25" customFormat="false" ht="15" hidden="false" customHeight="false" outlineLevel="0" collapsed="false">
      <c r="A25" s="2" t="s">
        <v>59</v>
      </c>
      <c r="B25" s="2" t="n">
        <v>3272374</v>
      </c>
      <c r="C25" s="2" t="s">
        <v>21</v>
      </c>
      <c r="D25" s="2" t="s">
        <v>22</v>
      </c>
      <c r="E25" s="2" t="s">
        <v>22</v>
      </c>
      <c r="F25" s="2" t="s">
        <v>36</v>
      </c>
      <c r="G25" s="2" t="n">
        <v>4600004259</v>
      </c>
      <c r="H25" s="2" t="s">
        <v>24</v>
      </c>
      <c r="I25" s="3" t="n">
        <v>199.13</v>
      </c>
      <c r="J25" s="2" t="s">
        <v>60</v>
      </c>
      <c r="K25" s="2" t="n">
        <v>9</v>
      </c>
      <c r="L25" s="4" t="n">
        <v>44551</v>
      </c>
      <c r="M25" s="2" t="s">
        <v>31</v>
      </c>
      <c r="N25" s="5" t="n">
        <v>-23.61132836</v>
      </c>
      <c r="O25" s="5" t="n">
        <v>-46.44270579</v>
      </c>
      <c r="P25" s="2" t="str">
        <f aca="false">IF(AND(ISNUMBER(N25),ISNUMBER(O25)),SUBSTITUTE(N25,",",".")&amp;","&amp;SUBSTITUTE(O25,",","."),"Sem coordenadas")</f>
        <v>-23.61132836,-46.44270579</v>
      </c>
      <c r="Q25" s="6" t="str">
        <f aca="false">IF(ISNUMBER(N25),HYPERLINK("https://www.google.com/maps/search/?api=1&amp;query="&amp;P25,"Abrir no Maps"),"Sem coordenadas")</f>
        <v>Abrir no Maps</v>
      </c>
      <c r="R25" s="6" t="str">
        <f aca="false">IF(ISNUMBER(N25),HYPERLINK("https://www.google.com/maps/dir/?api=1&amp;destination="&amp;P25,"Traçar rota"),"Sem coordenadas")</f>
        <v>Traçar rota</v>
      </c>
      <c r="S25" s="6" t="str">
        <f aca="false">IF(ISNUMBER(N25),HYPERLINK("https://www.google.com/maps/@?api=1&amp;map_action=pano&amp;viewpoint="&amp;P25,"Street View"),"Sem coordenadas")</f>
        <v>Street View</v>
      </c>
      <c r="T25" s="6" t="str">
        <f aca="false">HYPERLINK("https://www.google.com/maps/d/edit?mid=1FhSs4z4XyVo8q6ywBexvTMaPd01oMt0&amp;usp=sharing","Abrir My Maps")</f>
        <v>Abrir My Maps</v>
      </c>
    </row>
    <row r="26" customFormat="false" ht="15" hidden="false" customHeight="false" outlineLevel="0" collapsed="false">
      <c r="A26" s="2" t="s">
        <v>61</v>
      </c>
      <c r="B26" s="2" t="n">
        <v>3272374</v>
      </c>
      <c r="C26" s="2" t="s">
        <v>21</v>
      </c>
      <c r="D26" s="2" t="s">
        <v>22</v>
      </c>
      <c r="E26" s="2" t="s">
        <v>22</v>
      </c>
      <c r="F26" s="2" t="s">
        <v>36</v>
      </c>
      <c r="G26" s="2" t="n">
        <v>4600004259</v>
      </c>
      <c r="H26" s="2" t="s">
        <v>24</v>
      </c>
      <c r="I26" s="3" t="n">
        <v>252.72</v>
      </c>
      <c r="J26" s="2" t="s">
        <v>60</v>
      </c>
      <c r="K26" s="2" t="n">
        <v>9</v>
      </c>
      <c r="L26" s="4" t="n">
        <v>44551</v>
      </c>
      <c r="M26" s="2" t="s">
        <v>31</v>
      </c>
      <c r="N26" s="5" t="n">
        <v>-23.61132836</v>
      </c>
      <c r="O26" s="5" t="n">
        <v>-46.44270579</v>
      </c>
      <c r="P26" s="2" t="str">
        <f aca="false">IF(AND(ISNUMBER(N26),ISNUMBER(O26)),SUBSTITUTE(N26,",",".")&amp;","&amp;SUBSTITUTE(O26,",","."),"Sem coordenadas")</f>
        <v>-23.61132836,-46.44270579</v>
      </c>
      <c r="Q26" s="6" t="str">
        <f aca="false">IF(ISNUMBER(N26),HYPERLINK("https://www.google.com/maps/search/?api=1&amp;query="&amp;P26,"Abrir no Maps"),"Sem coordenadas")</f>
        <v>Abrir no Maps</v>
      </c>
      <c r="R26" s="6" t="str">
        <f aca="false">IF(ISNUMBER(N26),HYPERLINK("https://www.google.com/maps/dir/?api=1&amp;destination="&amp;P26,"Traçar rota"),"Sem coordenadas")</f>
        <v>Traçar rota</v>
      </c>
      <c r="S26" s="6" t="str">
        <f aca="false">IF(ISNUMBER(N26),HYPERLINK("https://www.google.com/maps/@?api=1&amp;map_action=pano&amp;viewpoint="&amp;P26,"Street View"),"Sem coordenadas")</f>
        <v>Street View</v>
      </c>
      <c r="T26" s="6" t="str">
        <f aca="false">HYPERLINK("https://www.google.com/maps/d/edit?mid=1FhSs4z4XyVo8q6ywBexvTMaPd01oMt0&amp;usp=sharing","Abrir My Maps")</f>
        <v>Abrir My Maps</v>
      </c>
    </row>
    <row r="27" customFormat="false" ht="15" hidden="false" customHeight="false" outlineLevel="0" collapsed="false">
      <c r="A27" s="2" t="s">
        <v>62</v>
      </c>
      <c r="B27" s="2" t="n">
        <v>3272374</v>
      </c>
      <c r="C27" s="2" t="s">
        <v>21</v>
      </c>
      <c r="D27" s="2" t="s">
        <v>22</v>
      </c>
      <c r="E27" s="2" t="s">
        <v>22</v>
      </c>
      <c r="F27" s="2" t="s">
        <v>36</v>
      </c>
      <c r="G27" s="2" t="n">
        <v>4600004259</v>
      </c>
      <c r="H27" s="2" t="s">
        <v>24</v>
      </c>
      <c r="I27" s="3" t="n">
        <v>276.9</v>
      </c>
      <c r="J27" s="2" t="s">
        <v>60</v>
      </c>
      <c r="K27" s="2" t="n">
        <v>9</v>
      </c>
      <c r="L27" s="4" t="n">
        <v>44551</v>
      </c>
      <c r="M27" s="2" t="s">
        <v>31</v>
      </c>
      <c r="N27" s="5" t="n">
        <v>-23.61132836</v>
      </c>
      <c r="O27" s="5" t="n">
        <v>-46.44270579</v>
      </c>
      <c r="P27" s="2" t="str">
        <f aca="false">IF(AND(ISNUMBER(N27),ISNUMBER(O27)),SUBSTITUTE(N27,",",".")&amp;","&amp;SUBSTITUTE(O27,",","."),"Sem coordenadas")</f>
        <v>-23.61132836,-46.44270579</v>
      </c>
      <c r="Q27" s="6" t="str">
        <f aca="false">IF(ISNUMBER(N27),HYPERLINK("https://www.google.com/maps/search/?api=1&amp;query="&amp;P27,"Abrir no Maps"),"Sem coordenadas")</f>
        <v>Abrir no Maps</v>
      </c>
      <c r="R27" s="6" t="str">
        <f aca="false">IF(ISNUMBER(N27),HYPERLINK("https://www.google.com/maps/dir/?api=1&amp;destination="&amp;P27,"Traçar rota"),"Sem coordenadas")</f>
        <v>Traçar rota</v>
      </c>
      <c r="S27" s="6" t="str">
        <f aca="false">IF(ISNUMBER(N27),HYPERLINK("https://www.google.com/maps/@?api=1&amp;map_action=pano&amp;viewpoint="&amp;P27,"Street View"),"Sem coordenadas")</f>
        <v>Street View</v>
      </c>
      <c r="T27" s="6" t="str">
        <f aca="false">HYPERLINK("https://www.google.com/maps/d/edit?mid=1FhSs4z4XyVo8q6ywBexvTMaPd01oMt0&amp;usp=sharing","Abrir My Maps")</f>
        <v>Abrir My Maps</v>
      </c>
    </row>
    <row r="28" customFormat="false" ht="15" hidden="false" customHeight="false" outlineLevel="0" collapsed="false">
      <c r="A28" s="2" t="s">
        <v>63</v>
      </c>
      <c r="B28" s="2" t="n">
        <v>3377876</v>
      </c>
      <c r="C28" s="2" t="s">
        <v>21</v>
      </c>
      <c r="D28" s="2" t="s">
        <v>22</v>
      </c>
      <c r="E28" s="2" t="s">
        <v>22</v>
      </c>
      <c r="F28" s="2" t="s">
        <v>36</v>
      </c>
      <c r="G28" s="2" t="n">
        <v>4600004259</v>
      </c>
      <c r="H28" s="2" t="s">
        <v>24</v>
      </c>
      <c r="I28" s="3" t="n">
        <v>221.52</v>
      </c>
      <c r="J28" s="2" t="s">
        <v>58</v>
      </c>
      <c r="K28" s="2" t="n">
        <v>9</v>
      </c>
      <c r="L28" s="4" t="n">
        <v>45390</v>
      </c>
      <c r="M28" s="2" t="s">
        <v>31</v>
      </c>
      <c r="N28" s="5" t="n">
        <v>-23.52730681</v>
      </c>
      <c r="O28" s="5" t="n">
        <v>-46.47313625</v>
      </c>
      <c r="P28" s="2" t="str">
        <f aca="false">IF(AND(ISNUMBER(N28),ISNUMBER(O28)),SUBSTITUTE(N28,",",".")&amp;","&amp;SUBSTITUTE(O28,",","."),"Sem coordenadas")</f>
        <v>-23.52730681,-46.47313625</v>
      </c>
      <c r="Q28" s="6" t="str">
        <f aca="false">IF(ISNUMBER(N28),HYPERLINK("https://www.google.com/maps/search/?api=1&amp;query="&amp;P28,"Abrir no Maps"),"Sem coordenadas")</f>
        <v>Abrir no Maps</v>
      </c>
      <c r="R28" s="6" t="str">
        <f aca="false">IF(ISNUMBER(N28),HYPERLINK("https://www.google.com/maps/dir/?api=1&amp;destination="&amp;P28,"Traçar rota"),"Sem coordenadas")</f>
        <v>Traçar rota</v>
      </c>
      <c r="S28" s="6" t="str">
        <f aca="false">IF(ISNUMBER(N28),HYPERLINK("https://www.google.com/maps/@?api=1&amp;map_action=pano&amp;viewpoint="&amp;P28,"Street View"),"Sem coordenadas")</f>
        <v>Street View</v>
      </c>
      <c r="T28" s="6" t="str">
        <f aca="false">HYPERLINK("https://www.google.com/maps/d/edit?mid=1FhSs4z4XyVo8q6ywBexvTMaPd01oMt0&amp;usp=sharing","Abrir My Maps")</f>
        <v>Abrir My Maps</v>
      </c>
    </row>
    <row r="29" customFormat="false" ht="15" hidden="false" customHeight="false" outlineLevel="0" collapsed="false">
      <c r="A29" s="2" t="s">
        <v>64</v>
      </c>
      <c r="B29" s="2" t="n">
        <v>3430201</v>
      </c>
      <c r="C29" s="2" t="s">
        <v>21</v>
      </c>
      <c r="D29" s="2" t="s">
        <v>22</v>
      </c>
      <c r="E29" s="2" t="s">
        <v>22</v>
      </c>
      <c r="F29" s="2" t="s">
        <v>23</v>
      </c>
      <c r="G29" s="2" t="n">
        <v>4600004259</v>
      </c>
      <c r="H29" s="2" t="s">
        <v>24</v>
      </c>
      <c r="I29" s="3" t="n">
        <v>128.07</v>
      </c>
      <c r="J29" s="2" t="s">
        <v>65</v>
      </c>
      <c r="K29" s="2" t="n">
        <v>11</v>
      </c>
      <c r="L29" s="4" t="n">
        <v>45602</v>
      </c>
      <c r="M29" s="2" t="s">
        <v>26</v>
      </c>
      <c r="N29" s="5" t="n">
        <v>-23.71525304</v>
      </c>
      <c r="O29" s="5" t="n">
        <v>-46.50607624</v>
      </c>
      <c r="P29" s="2" t="str">
        <f aca="false">IF(AND(ISNUMBER(N29),ISNUMBER(O29)),SUBSTITUTE(N29,",",".")&amp;","&amp;SUBSTITUTE(O29,",","."),"Sem coordenadas")</f>
        <v>-23.71525304,-46.50607624</v>
      </c>
      <c r="Q29" s="6" t="str">
        <f aca="false">IF(ISNUMBER(N29),HYPERLINK("https://www.google.com/maps/search/?api=1&amp;query="&amp;P29,"Abrir no Maps"),"Sem coordenadas")</f>
        <v>Abrir no Maps</v>
      </c>
      <c r="R29" s="6" t="str">
        <f aca="false">IF(ISNUMBER(N29),HYPERLINK("https://www.google.com/maps/dir/?api=1&amp;destination="&amp;P29,"Traçar rota"),"Sem coordenadas")</f>
        <v>Traçar rota</v>
      </c>
      <c r="S29" s="6" t="str">
        <f aca="false">IF(ISNUMBER(N29),HYPERLINK("https://www.google.com/maps/@?api=1&amp;map_action=pano&amp;viewpoint="&amp;P29,"Street View"),"Sem coordenadas")</f>
        <v>Street View</v>
      </c>
      <c r="T29" s="6" t="str">
        <f aca="false">HYPERLINK("https://www.google.com/maps/d/edit?mid=1FhSs4z4XyVo8q6ywBexvTMaPd01oMt0&amp;usp=sharing","Abrir My Maps")</f>
        <v>Abrir My Maps</v>
      </c>
    </row>
    <row r="30" customFormat="false" ht="15" hidden="false" customHeight="false" outlineLevel="0" collapsed="false">
      <c r="A30" s="2" t="s">
        <v>66</v>
      </c>
      <c r="B30" s="2" t="n">
        <v>3632492</v>
      </c>
      <c r="C30" s="2" t="s">
        <v>21</v>
      </c>
      <c r="D30" s="2" t="s">
        <v>22</v>
      </c>
      <c r="E30" s="2" t="s">
        <v>22</v>
      </c>
      <c r="F30" s="2" t="s">
        <v>36</v>
      </c>
      <c r="G30" s="2" t="n">
        <v>4600004059</v>
      </c>
      <c r="H30" s="2" t="s">
        <v>29</v>
      </c>
      <c r="I30" s="3" t="n">
        <v>152.8</v>
      </c>
      <c r="J30" s="2" t="s">
        <v>30</v>
      </c>
      <c r="K30" s="2" t="n">
        <v>9</v>
      </c>
      <c r="L30" s="4" t="n">
        <v>46148</v>
      </c>
      <c r="M30" s="2" t="s">
        <v>31</v>
      </c>
      <c r="N30" s="5" t="n">
        <v>-23.59140625</v>
      </c>
      <c r="O30" s="5" t="n">
        <v>-46.42377922</v>
      </c>
      <c r="P30" s="2" t="str">
        <f aca="false">IF(AND(ISNUMBER(N30),ISNUMBER(O30)),SUBSTITUTE(N30,",",".")&amp;","&amp;SUBSTITUTE(O30,",","."),"Sem coordenadas")</f>
        <v>-23.59140625,-46.42377922</v>
      </c>
      <c r="Q30" s="6" t="str">
        <f aca="false">IF(ISNUMBER(N30),HYPERLINK("https://www.google.com/maps/search/?api=1&amp;query="&amp;P30,"Abrir no Maps"),"Sem coordenadas")</f>
        <v>Abrir no Maps</v>
      </c>
      <c r="R30" s="6" t="str">
        <f aca="false">IF(ISNUMBER(N30),HYPERLINK("https://www.google.com/maps/dir/?api=1&amp;destination="&amp;P30,"Traçar rota"),"Sem coordenadas")</f>
        <v>Traçar rota</v>
      </c>
      <c r="S30" s="6" t="str">
        <f aca="false">IF(ISNUMBER(N30),HYPERLINK("https://www.google.com/maps/@?api=1&amp;map_action=pano&amp;viewpoint="&amp;P30,"Street View"),"Sem coordenadas")</f>
        <v>Street View</v>
      </c>
      <c r="T30" s="6" t="str">
        <f aca="false">HYPERLINK("https://www.google.com/maps/d/edit?mid=1FhSs4z4XyVo8q6ywBexvTMaPd01oMt0&amp;usp=sharing","Abrir My Maps")</f>
        <v>Abrir My Maps</v>
      </c>
    </row>
    <row r="31" customFormat="false" ht="15" hidden="false" customHeight="false" outlineLevel="0" collapsed="false">
      <c r="A31" s="2" t="s">
        <v>67</v>
      </c>
      <c r="B31" s="2" t="n">
        <v>3625757</v>
      </c>
      <c r="C31" s="2" t="s">
        <v>21</v>
      </c>
      <c r="D31" s="2" t="s">
        <v>22</v>
      </c>
      <c r="E31" s="2" t="s">
        <v>22</v>
      </c>
      <c r="F31" s="2" t="s">
        <v>36</v>
      </c>
      <c r="G31" s="2" t="n">
        <v>4600004059</v>
      </c>
      <c r="H31" s="2" t="s">
        <v>29</v>
      </c>
      <c r="I31" s="3" t="n">
        <v>145.68</v>
      </c>
      <c r="J31" s="2" t="s">
        <v>30</v>
      </c>
      <c r="K31" s="2" t="n">
        <v>9</v>
      </c>
      <c r="L31" s="4" t="n">
        <v>46083</v>
      </c>
      <c r="M31" s="2" t="s">
        <v>31</v>
      </c>
      <c r="N31" s="5" t="n">
        <v>-23.59445801</v>
      </c>
      <c r="O31" s="5" t="n">
        <v>-46.41924494</v>
      </c>
      <c r="P31" s="2" t="str">
        <f aca="false">IF(AND(ISNUMBER(N31),ISNUMBER(O31)),SUBSTITUTE(N31,",",".")&amp;","&amp;SUBSTITUTE(O31,",","."),"Sem coordenadas")</f>
        <v>-23.59445801,-46.41924494</v>
      </c>
      <c r="Q31" s="6" t="str">
        <f aca="false">IF(ISNUMBER(N31),HYPERLINK("https://www.google.com/maps/search/?api=1&amp;query="&amp;P31,"Abrir no Maps"),"Sem coordenadas")</f>
        <v>Abrir no Maps</v>
      </c>
      <c r="R31" s="6" t="str">
        <f aca="false">IF(ISNUMBER(N31),HYPERLINK("https://www.google.com/maps/dir/?api=1&amp;destination="&amp;P31,"Traçar rota"),"Sem coordenadas")</f>
        <v>Traçar rota</v>
      </c>
      <c r="S31" s="6" t="str">
        <f aca="false">IF(ISNUMBER(N31),HYPERLINK("https://www.google.com/maps/@?api=1&amp;map_action=pano&amp;viewpoint="&amp;P31,"Street View"),"Sem coordenadas")</f>
        <v>Street View</v>
      </c>
      <c r="T31" s="6" t="str">
        <f aca="false">HYPERLINK("https://www.google.com/maps/d/edit?mid=1FhSs4z4XyVo8q6ywBexvTMaPd01oMt0&amp;usp=sharing","Abrir My Maps")</f>
        <v>Abrir My Maps</v>
      </c>
    </row>
    <row r="32" customFormat="false" ht="15" hidden="false" customHeight="false" outlineLevel="0" collapsed="false">
      <c r="A32" s="2" t="s">
        <v>68</v>
      </c>
      <c r="B32" s="2" t="n">
        <v>3632492</v>
      </c>
      <c r="C32" s="2" t="s">
        <v>21</v>
      </c>
      <c r="D32" s="2" t="s">
        <v>22</v>
      </c>
      <c r="E32" s="2" t="s">
        <v>22</v>
      </c>
      <c r="F32" s="2" t="s">
        <v>36</v>
      </c>
      <c r="G32" s="2" t="n">
        <v>4600004059</v>
      </c>
      <c r="H32" s="2" t="s">
        <v>29</v>
      </c>
      <c r="I32" s="3" t="n">
        <v>150.35</v>
      </c>
      <c r="J32" s="2" t="s">
        <v>30</v>
      </c>
      <c r="K32" s="2" t="n">
        <v>9</v>
      </c>
      <c r="L32" s="4" t="n">
        <v>46157</v>
      </c>
      <c r="M32" s="2" t="s">
        <v>31</v>
      </c>
      <c r="N32" s="5" t="n">
        <v>-23.59140625</v>
      </c>
      <c r="O32" s="5" t="n">
        <v>-46.42377922</v>
      </c>
      <c r="P32" s="2" t="str">
        <f aca="false">IF(AND(ISNUMBER(N32),ISNUMBER(O32)),SUBSTITUTE(N32,",",".")&amp;","&amp;SUBSTITUTE(O32,",","."),"Sem coordenadas")</f>
        <v>-23.59140625,-46.42377922</v>
      </c>
      <c r="Q32" s="6" t="str">
        <f aca="false">IF(ISNUMBER(N32),HYPERLINK("https://www.google.com/maps/search/?api=1&amp;query="&amp;P32,"Abrir no Maps"),"Sem coordenadas")</f>
        <v>Abrir no Maps</v>
      </c>
      <c r="R32" s="6" t="str">
        <f aca="false">IF(ISNUMBER(N32),HYPERLINK("https://www.google.com/maps/dir/?api=1&amp;destination="&amp;P32,"Traçar rota"),"Sem coordenadas")</f>
        <v>Traçar rota</v>
      </c>
      <c r="S32" s="6" t="str">
        <f aca="false">IF(ISNUMBER(N32),HYPERLINK("https://www.google.com/maps/@?api=1&amp;map_action=pano&amp;viewpoint="&amp;P32,"Street View"),"Sem coordenadas")</f>
        <v>Street View</v>
      </c>
      <c r="T32" s="6" t="str">
        <f aca="false">HYPERLINK("https://www.google.com/maps/d/edit?mid=1FhSs4z4XyVo8q6ywBexvTMaPd01oMt0&amp;usp=sharing","Abrir My Maps")</f>
        <v>Abrir My Maps</v>
      </c>
    </row>
    <row r="33" customFormat="false" ht="15" hidden="false" customHeight="false" outlineLevel="0" collapsed="false">
      <c r="A33" s="2" t="s">
        <v>69</v>
      </c>
      <c r="B33" s="2" t="n">
        <v>3632492</v>
      </c>
      <c r="C33" s="2" t="s">
        <v>21</v>
      </c>
      <c r="D33" s="2" t="s">
        <v>22</v>
      </c>
      <c r="E33" s="2" t="s">
        <v>22</v>
      </c>
      <c r="F33" s="2" t="s">
        <v>36</v>
      </c>
      <c r="G33" s="2" t="n">
        <v>4600004059</v>
      </c>
      <c r="H33" s="2" t="s">
        <v>29</v>
      </c>
      <c r="I33" s="3" t="n">
        <v>259.67</v>
      </c>
      <c r="J33" s="2" t="s">
        <v>30</v>
      </c>
      <c r="K33" s="2" t="n">
        <v>9</v>
      </c>
      <c r="L33" s="4" t="n">
        <v>46154</v>
      </c>
      <c r="M33" s="2" t="s">
        <v>31</v>
      </c>
      <c r="N33" s="5" t="n">
        <v>-23.59140625</v>
      </c>
      <c r="O33" s="5" t="n">
        <v>-46.42377922</v>
      </c>
      <c r="P33" s="2" t="str">
        <f aca="false">IF(AND(ISNUMBER(N33),ISNUMBER(O33)),SUBSTITUTE(N33,",",".")&amp;","&amp;SUBSTITUTE(O33,",","."),"Sem coordenadas")</f>
        <v>-23.59140625,-46.42377922</v>
      </c>
      <c r="Q33" s="6" t="str">
        <f aca="false">IF(ISNUMBER(N33),HYPERLINK("https://www.google.com/maps/search/?api=1&amp;query="&amp;P33,"Abrir no Maps"),"Sem coordenadas")</f>
        <v>Abrir no Maps</v>
      </c>
      <c r="R33" s="6" t="str">
        <f aca="false">IF(ISNUMBER(N33),HYPERLINK("https://www.google.com/maps/dir/?api=1&amp;destination="&amp;P33,"Traçar rota"),"Sem coordenadas")</f>
        <v>Traçar rota</v>
      </c>
      <c r="S33" s="6" t="str">
        <f aca="false">IF(ISNUMBER(N33),HYPERLINK("https://www.google.com/maps/@?api=1&amp;map_action=pano&amp;viewpoint="&amp;P33,"Street View"),"Sem coordenadas")</f>
        <v>Street View</v>
      </c>
      <c r="T33" s="6" t="str">
        <f aca="false">HYPERLINK("https://www.google.com/maps/d/edit?mid=1FhSs4z4XyVo8q6ywBexvTMaPd01oMt0&amp;usp=sharing","Abrir My Maps")</f>
        <v>Abrir My Maps</v>
      </c>
    </row>
    <row r="34" customFormat="false" ht="15" hidden="false" customHeight="false" outlineLevel="0" collapsed="false">
      <c r="A34" s="2" t="s">
        <v>70</v>
      </c>
      <c r="B34" s="2" t="n">
        <v>3625757</v>
      </c>
      <c r="C34" s="2" t="s">
        <v>21</v>
      </c>
      <c r="D34" s="2" t="s">
        <v>22</v>
      </c>
      <c r="E34" s="2" t="s">
        <v>22</v>
      </c>
      <c r="F34" s="2" t="s">
        <v>36</v>
      </c>
      <c r="G34" s="2" t="n">
        <v>4600004059</v>
      </c>
      <c r="H34" s="2" t="s">
        <v>29</v>
      </c>
      <c r="I34" s="3" t="n">
        <v>119.98</v>
      </c>
      <c r="J34" s="2" t="s">
        <v>30</v>
      </c>
      <c r="K34" s="2" t="n">
        <v>9</v>
      </c>
      <c r="L34" s="4" t="n">
        <v>46083</v>
      </c>
      <c r="M34" s="2" t="s">
        <v>31</v>
      </c>
      <c r="N34" s="5" t="n">
        <v>-23.59445801</v>
      </c>
      <c r="O34" s="5" t="n">
        <v>-46.41924494</v>
      </c>
      <c r="P34" s="2" t="str">
        <f aca="false">IF(AND(ISNUMBER(N34),ISNUMBER(O34)),SUBSTITUTE(N34,",",".")&amp;","&amp;SUBSTITUTE(O34,",","."),"Sem coordenadas")</f>
        <v>-23.59445801,-46.41924494</v>
      </c>
      <c r="Q34" s="6" t="str">
        <f aca="false">IF(ISNUMBER(N34),HYPERLINK("https://www.google.com/maps/search/?api=1&amp;query="&amp;P34,"Abrir no Maps"),"Sem coordenadas")</f>
        <v>Abrir no Maps</v>
      </c>
      <c r="R34" s="6" t="str">
        <f aca="false">IF(ISNUMBER(N34),HYPERLINK("https://www.google.com/maps/dir/?api=1&amp;destination="&amp;P34,"Traçar rota"),"Sem coordenadas")</f>
        <v>Traçar rota</v>
      </c>
      <c r="S34" s="6" t="str">
        <f aca="false">IF(ISNUMBER(N34),HYPERLINK("https://www.google.com/maps/@?api=1&amp;map_action=pano&amp;viewpoint="&amp;P34,"Street View"),"Sem coordenadas")</f>
        <v>Street View</v>
      </c>
      <c r="T34" s="6" t="str">
        <f aca="false">HYPERLINK("https://www.google.com/maps/d/edit?mid=1FhSs4z4XyVo8q6ywBexvTMaPd01oMt0&amp;usp=sharing","Abrir My Maps")</f>
        <v>Abrir My Maps</v>
      </c>
    </row>
    <row r="35" customFormat="false" ht="15" hidden="false" customHeight="false" outlineLevel="0" collapsed="false">
      <c r="A35" s="2" t="s">
        <v>71</v>
      </c>
      <c r="B35" s="2" t="n">
        <v>3625757</v>
      </c>
      <c r="C35" s="2" t="s">
        <v>21</v>
      </c>
      <c r="D35" s="2" t="s">
        <v>22</v>
      </c>
      <c r="E35" s="2" t="s">
        <v>22</v>
      </c>
      <c r="F35" s="2" t="s">
        <v>36</v>
      </c>
      <c r="G35" s="2" t="n">
        <v>4600004059</v>
      </c>
      <c r="H35" s="2" t="s">
        <v>29</v>
      </c>
      <c r="I35" s="3" t="n">
        <v>113.7</v>
      </c>
      <c r="J35" s="2" t="s">
        <v>30</v>
      </c>
      <c r="K35" s="2" t="n">
        <v>9</v>
      </c>
      <c r="L35" s="4" t="n">
        <v>46083</v>
      </c>
      <c r="M35" s="2" t="s">
        <v>31</v>
      </c>
      <c r="N35" s="5" t="n">
        <v>-23.59445801</v>
      </c>
      <c r="O35" s="5" t="n">
        <v>-46.41924494</v>
      </c>
      <c r="P35" s="2" t="str">
        <f aca="false">IF(AND(ISNUMBER(N35),ISNUMBER(O35)),SUBSTITUTE(N35,",",".")&amp;","&amp;SUBSTITUTE(O35,",","."),"Sem coordenadas")</f>
        <v>-23.59445801,-46.41924494</v>
      </c>
      <c r="Q35" s="6" t="str">
        <f aca="false">IF(ISNUMBER(N35),HYPERLINK("https://www.google.com/maps/search/?api=1&amp;query="&amp;P35,"Abrir no Maps"),"Sem coordenadas")</f>
        <v>Abrir no Maps</v>
      </c>
      <c r="R35" s="6" t="str">
        <f aca="false">IF(ISNUMBER(N35),HYPERLINK("https://www.google.com/maps/dir/?api=1&amp;destination="&amp;P35,"Traçar rota"),"Sem coordenadas")</f>
        <v>Traçar rota</v>
      </c>
      <c r="S35" s="6" t="str">
        <f aca="false">IF(ISNUMBER(N35),HYPERLINK("https://www.google.com/maps/@?api=1&amp;map_action=pano&amp;viewpoint="&amp;P35,"Street View"),"Sem coordenadas")</f>
        <v>Street View</v>
      </c>
      <c r="T35" s="6" t="str">
        <f aca="false">HYPERLINK("https://www.google.com/maps/d/edit?mid=1FhSs4z4XyVo8q6ywBexvTMaPd01oMt0&amp;usp=sharing","Abrir My Maps")</f>
        <v>Abrir My Maps</v>
      </c>
    </row>
    <row r="36" customFormat="false" ht="15" hidden="false" customHeight="false" outlineLevel="0" collapsed="false">
      <c r="A36" s="2" t="s">
        <v>72</v>
      </c>
      <c r="B36" s="2" t="n">
        <v>3632492</v>
      </c>
      <c r="C36" s="2" t="s">
        <v>21</v>
      </c>
      <c r="D36" s="2" t="s">
        <v>22</v>
      </c>
      <c r="E36" s="2" t="s">
        <v>22</v>
      </c>
      <c r="F36" s="2" t="s">
        <v>36</v>
      </c>
      <c r="G36" s="2" t="n">
        <v>4600004059</v>
      </c>
      <c r="H36" s="2" t="s">
        <v>29</v>
      </c>
      <c r="I36" s="3" t="n">
        <v>233.1</v>
      </c>
      <c r="J36" s="2" t="s">
        <v>30</v>
      </c>
      <c r="K36" s="2" t="n">
        <v>9</v>
      </c>
      <c r="L36" s="4" t="n">
        <v>46157</v>
      </c>
      <c r="M36" s="2" t="s">
        <v>31</v>
      </c>
      <c r="N36" s="5" t="n">
        <v>-23.59140625</v>
      </c>
      <c r="O36" s="5" t="n">
        <v>-46.42377922</v>
      </c>
      <c r="P36" s="2" t="str">
        <f aca="false">IF(AND(ISNUMBER(N36),ISNUMBER(O36)),SUBSTITUTE(N36,",",".")&amp;","&amp;SUBSTITUTE(O36,",","."),"Sem coordenadas")</f>
        <v>-23.59140625,-46.42377922</v>
      </c>
      <c r="Q36" s="6" t="str">
        <f aca="false">IF(ISNUMBER(N36),HYPERLINK("https://www.google.com/maps/search/?api=1&amp;query="&amp;P36,"Abrir no Maps"),"Sem coordenadas")</f>
        <v>Abrir no Maps</v>
      </c>
      <c r="R36" s="6" t="str">
        <f aca="false">IF(ISNUMBER(N36),HYPERLINK("https://www.google.com/maps/dir/?api=1&amp;destination="&amp;P36,"Traçar rota"),"Sem coordenadas")</f>
        <v>Traçar rota</v>
      </c>
      <c r="S36" s="6" t="str">
        <f aca="false">IF(ISNUMBER(N36),HYPERLINK("https://www.google.com/maps/@?api=1&amp;map_action=pano&amp;viewpoint="&amp;P36,"Street View"),"Sem coordenadas")</f>
        <v>Street View</v>
      </c>
      <c r="T36" s="6" t="str">
        <f aca="false">HYPERLINK("https://www.google.com/maps/d/edit?mid=1FhSs4z4XyVo8q6ywBexvTMaPd01oMt0&amp;usp=sharing","Abrir My Maps")</f>
        <v>Abrir My Maps</v>
      </c>
    </row>
    <row r="37" customFormat="false" ht="15" hidden="false" customHeight="false" outlineLevel="0" collapsed="false">
      <c r="A37" s="2" t="s">
        <v>73</v>
      </c>
      <c r="B37" s="2" t="n">
        <v>3625757</v>
      </c>
      <c r="C37" s="2" t="s">
        <v>21</v>
      </c>
      <c r="D37" s="2" t="s">
        <v>22</v>
      </c>
      <c r="E37" s="2" t="s">
        <v>22</v>
      </c>
      <c r="F37" s="2" t="s">
        <v>28</v>
      </c>
      <c r="G37" s="2" t="n">
        <v>4600004059</v>
      </c>
      <c r="H37" s="2" t="s">
        <v>29</v>
      </c>
      <c r="I37" s="3" t="n">
        <v>148.98</v>
      </c>
      <c r="J37" s="2" t="s">
        <v>30</v>
      </c>
      <c r="K37" s="2" t="n">
        <v>9</v>
      </c>
      <c r="L37" s="4" t="n">
        <v>46083</v>
      </c>
      <c r="M37" s="2" t="s">
        <v>31</v>
      </c>
      <c r="N37" s="5" t="n">
        <v>-23.59445801</v>
      </c>
      <c r="O37" s="5" t="n">
        <v>-46.41924494</v>
      </c>
      <c r="P37" s="2" t="str">
        <f aca="false">IF(AND(ISNUMBER(N37),ISNUMBER(O37)),SUBSTITUTE(N37,",",".")&amp;","&amp;SUBSTITUTE(O37,",","."),"Sem coordenadas")</f>
        <v>-23.59445801,-46.41924494</v>
      </c>
      <c r="Q37" s="6" t="str">
        <f aca="false">IF(ISNUMBER(N37),HYPERLINK("https://www.google.com/maps/search/?api=1&amp;query="&amp;P37,"Abrir no Maps"),"Sem coordenadas")</f>
        <v>Abrir no Maps</v>
      </c>
      <c r="R37" s="6" t="str">
        <f aca="false">IF(ISNUMBER(N37),HYPERLINK("https://www.google.com/maps/dir/?api=1&amp;destination="&amp;P37,"Traçar rota"),"Sem coordenadas")</f>
        <v>Traçar rota</v>
      </c>
      <c r="S37" s="6" t="str">
        <f aca="false">IF(ISNUMBER(N37),HYPERLINK("https://www.google.com/maps/@?api=1&amp;map_action=pano&amp;viewpoint="&amp;P37,"Street View"),"Sem coordenadas")</f>
        <v>Street View</v>
      </c>
      <c r="T37" s="6" t="str">
        <f aca="false">HYPERLINK("https://www.google.com/maps/d/edit?mid=1FhSs4z4XyVo8q6ywBexvTMaPd01oMt0&amp;usp=sharing","Abrir My Maps")</f>
        <v>Abrir My Maps</v>
      </c>
    </row>
    <row r="38" customFormat="false" ht="15" hidden="false" customHeight="false" outlineLevel="0" collapsed="false">
      <c r="A38" s="2" t="s">
        <v>74</v>
      </c>
      <c r="B38" s="2" t="n">
        <v>3625757</v>
      </c>
      <c r="C38" s="2" t="s">
        <v>21</v>
      </c>
      <c r="D38" s="2" t="s">
        <v>22</v>
      </c>
      <c r="E38" s="2" t="s">
        <v>22</v>
      </c>
      <c r="F38" s="2" t="s">
        <v>28</v>
      </c>
      <c r="G38" s="2" t="n">
        <v>4600004059</v>
      </c>
      <c r="H38" s="2" t="s">
        <v>29</v>
      </c>
      <c r="I38" s="3" t="n">
        <v>168.07</v>
      </c>
      <c r="J38" s="2" t="s">
        <v>30</v>
      </c>
      <c r="K38" s="2" t="n">
        <v>9</v>
      </c>
      <c r="L38" s="4" t="n">
        <v>46083</v>
      </c>
      <c r="M38" s="2" t="s">
        <v>31</v>
      </c>
      <c r="N38" s="5" t="n">
        <v>-23.59445801</v>
      </c>
      <c r="O38" s="5" t="n">
        <v>-46.41924494</v>
      </c>
      <c r="P38" s="2" t="str">
        <f aca="false">IF(AND(ISNUMBER(N38),ISNUMBER(O38)),SUBSTITUTE(N38,",",".")&amp;","&amp;SUBSTITUTE(O38,",","."),"Sem coordenadas")</f>
        <v>-23.59445801,-46.41924494</v>
      </c>
      <c r="Q38" s="6" t="str">
        <f aca="false">IF(ISNUMBER(N38),HYPERLINK("https://www.google.com/maps/search/?api=1&amp;query="&amp;P38,"Abrir no Maps"),"Sem coordenadas")</f>
        <v>Abrir no Maps</v>
      </c>
      <c r="R38" s="6" t="str">
        <f aca="false">IF(ISNUMBER(N38),HYPERLINK("https://www.google.com/maps/dir/?api=1&amp;destination="&amp;P38,"Traçar rota"),"Sem coordenadas")</f>
        <v>Traçar rota</v>
      </c>
      <c r="S38" s="6" t="str">
        <f aca="false">IF(ISNUMBER(N38),HYPERLINK("https://www.google.com/maps/@?api=1&amp;map_action=pano&amp;viewpoint="&amp;P38,"Street View"),"Sem coordenadas")</f>
        <v>Street View</v>
      </c>
      <c r="T38" s="6" t="str">
        <f aca="false">HYPERLINK("https://www.google.com/maps/d/edit?mid=1FhSs4z4XyVo8q6ywBexvTMaPd01oMt0&amp;usp=sharing","Abrir My Maps")</f>
        <v>Abrir My Maps</v>
      </c>
    </row>
    <row r="39" customFormat="false" ht="15" hidden="false" customHeight="false" outlineLevel="0" collapsed="false">
      <c r="A39" s="2" t="s">
        <v>75</v>
      </c>
      <c r="B39" s="2" t="n">
        <v>3625757</v>
      </c>
      <c r="C39" s="2" t="s">
        <v>21</v>
      </c>
      <c r="D39" s="2" t="s">
        <v>22</v>
      </c>
      <c r="E39" s="2" t="s">
        <v>22</v>
      </c>
      <c r="F39" s="2" t="s">
        <v>28</v>
      </c>
      <c r="G39" s="2" t="n">
        <v>4600004059</v>
      </c>
      <c r="H39" s="2" t="s">
        <v>29</v>
      </c>
      <c r="I39" s="3" t="n">
        <v>113.16</v>
      </c>
      <c r="J39" s="2" t="s">
        <v>30</v>
      </c>
      <c r="K39" s="2" t="n">
        <v>9</v>
      </c>
      <c r="L39" s="4" t="n">
        <v>46083</v>
      </c>
      <c r="M39" s="2" t="s">
        <v>31</v>
      </c>
      <c r="N39" s="5" t="n">
        <v>-23.59445801</v>
      </c>
      <c r="O39" s="5" t="n">
        <v>-46.41924494</v>
      </c>
      <c r="P39" s="2" t="str">
        <f aca="false">IF(AND(ISNUMBER(N39),ISNUMBER(O39)),SUBSTITUTE(N39,",",".")&amp;","&amp;SUBSTITUTE(O39,",","."),"Sem coordenadas")</f>
        <v>-23.59445801,-46.41924494</v>
      </c>
      <c r="Q39" s="6" t="str">
        <f aca="false">IF(ISNUMBER(N39),HYPERLINK("https://www.google.com/maps/search/?api=1&amp;query="&amp;P39,"Abrir no Maps"),"Sem coordenadas")</f>
        <v>Abrir no Maps</v>
      </c>
      <c r="R39" s="6" t="str">
        <f aca="false">IF(ISNUMBER(N39),HYPERLINK("https://www.google.com/maps/dir/?api=1&amp;destination="&amp;P39,"Traçar rota"),"Sem coordenadas")</f>
        <v>Traçar rota</v>
      </c>
      <c r="S39" s="6" t="str">
        <f aca="false">IF(ISNUMBER(N39),HYPERLINK("https://www.google.com/maps/@?api=1&amp;map_action=pano&amp;viewpoint="&amp;P39,"Street View"),"Sem coordenadas")</f>
        <v>Street View</v>
      </c>
      <c r="T39" s="6" t="str">
        <f aca="false">HYPERLINK("https://www.google.com/maps/d/edit?mid=1FhSs4z4XyVo8q6ywBexvTMaPd01oMt0&amp;usp=sharing","Abrir My Maps")</f>
        <v>Abrir My Maps</v>
      </c>
    </row>
    <row r="40" customFormat="false" ht="15" hidden="false" customHeight="false" outlineLevel="0" collapsed="false">
      <c r="A40" s="2" t="s">
        <v>76</v>
      </c>
      <c r="B40" s="2" t="n">
        <v>3625757</v>
      </c>
      <c r="C40" s="2" t="s">
        <v>21</v>
      </c>
      <c r="D40" s="2" t="s">
        <v>22</v>
      </c>
      <c r="E40" s="2" t="s">
        <v>22</v>
      </c>
      <c r="F40" s="2" t="s">
        <v>28</v>
      </c>
      <c r="G40" s="2" t="n">
        <v>4600004059</v>
      </c>
      <c r="H40" s="2" t="s">
        <v>29</v>
      </c>
      <c r="I40" s="3" t="n">
        <v>133.63</v>
      </c>
      <c r="J40" s="2" t="s">
        <v>30</v>
      </c>
      <c r="K40" s="2" t="n">
        <v>9</v>
      </c>
      <c r="L40" s="4" t="n">
        <v>46083</v>
      </c>
      <c r="M40" s="2" t="s">
        <v>31</v>
      </c>
      <c r="N40" s="5" t="n">
        <v>-23.59445801</v>
      </c>
      <c r="O40" s="5" t="n">
        <v>-46.41924494</v>
      </c>
      <c r="P40" s="2" t="str">
        <f aca="false">IF(AND(ISNUMBER(N40),ISNUMBER(O40)),SUBSTITUTE(N40,",",".")&amp;","&amp;SUBSTITUTE(O40,",","."),"Sem coordenadas")</f>
        <v>-23.59445801,-46.41924494</v>
      </c>
      <c r="Q40" s="6" t="str">
        <f aca="false">IF(ISNUMBER(N40),HYPERLINK("https://www.google.com/maps/search/?api=1&amp;query="&amp;P40,"Abrir no Maps"),"Sem coordenadas")</f>
        <v>Abrir no Maps</v>
      </c>
      <c r="R40" s="6" t="str">
        <f aca="false">IF(ISNUMBER(N40),HYPERLINK("https://www.google.com/maps/dir/?api=1&amp;destination="&amp;P40,"Traçar rota"),"Sem coordenadas")</f>
        <v>Traçar rota</v>
      </c>
      <c r="S40" s="6" t="str">
        <f aca="false">IF(ISNUMBER(N40),HYPERLINK("https://www.google.com/maps/@?api=1&amp;map_action=pano&amp;viewpoint="&amp;P40,"Street View"),"Sem coordenadas")</f>
        <v>Street View</v>
      </c>
      <c r="T40" s="6" t="str">
        <f aca="false">HYPERLINK("https://www.google.com/maps/d/edit?mid=1FhSs4z4XyVo8q6ywBexvTMaPd01oMt0&amp;usp=sharing","Abrir My Maps")</f>
        <v>Abrir My Maps</v>
      </c>
    </row>
    <row r="41" customFormat="false" ht="15" hidden="false" customHeight="false" outlineLevel="0" collapsed="false">
      <c r="A41" s="2" t="s">
        <v>77</v>
      </c>
      <c r="B41" s="2" t="n">
        <v>3625757</v>
      </c>
      <c r="C41" s="2" t="s">
        <v>21</v>
      </c>
      <c r="D41" s="2" t="s">
        <v>22</v>
      </c>
      <c r="E41" s="2" t="s">
        <v>22</v>
      </c>
      <c r="F41" s="2" t="s">
        <v>28</v>
      </c>
      <c r="G41" s="2" t="n">
        <v>4600004259</v>
      </c>
      <c r="H41" s="2" t="s">
        <v>24</v>
      </c>
      <c r="I41" s="3" t="n">
        <v>757.12</v>
      </c>
      <c r="J41" s="2" t="s">
        <v>30</v>
      </c>
      <c r="K41" s="2" t="n">
        <v>9</v>
      </c>
      <c r="L41" s="4" t="n">
        <v>46076</v>
      </c>
      <c r="M41" s="2" t="s">
        <v>31</v>
      </c>
      <c r="N41" s="5" t="n">
        <v>-23.607595</v>
      </c>
      <c r="O41" s="5" t="n">
        <v>-46.41339841</v>
      </c>
      <c r="P41" s="2" t="str">
        <f aca="false">IF(AND(ISNUMBER(N41),ISNUMBER(O41)),SUBSTITUTE(N41,",",".")&amp;","&amp;SUBSTITUTE(O41,",","."),"Sem coordenadas")</f>
        <v>-23.607595,-46.41339841</v>
      </c>
      <c r="Q41" s="6" t="str">
        <f aca="false">IF(ISNUMBER(N41),HYPERLINK("https://www.google.com/maps/search/?api=1&amp;query="&amp;P41,"Abrir no Maps"),"Sem coordenadas")</f>
        <v>Abrir no Maps</v>
      </c>
      <c r="R41" s="6" t="str">
        <f aca="false">IF(ISNUMBER(N41),HYPERLINK("https://www.google.com/maps/dir/?api=1&amp;destination="&amp;P41,"Traçar rota"),"Sem coordenadas")</f>
        <v>Traçar rota</v>
      </c>
      <c r="S41" s="6" t="str">
        <f aca="false">IF(ISNUMBER(N41),HYPERLINK("https://www.google.com/maps/@?api=1&amp;map_action=pano&amp;viewpoint="&amp;P41,"Street View"),"Sem coordenadas")</f>
        <v>Street View</v>
      </c>
      <c r="T41" s="6" t="str">
        <f aca="false">HYPERLINK("https://www.google.com/maps/d/edit?mid=1FhSs4z4XyVo8q6ywBexvTMaPd01oMt0&amp;usp=sharing","Abrir My Maps")</f>
        <v>Abrir My Maps</v>
      </c>
    </row>
    <row r="42" customFormat="false" ht="15" hidden="false" customHeight="false" outlineLevel="0" collapsed="false">
      <c r="A42" s="2" t="s">
        <v>78</v>
      </c>
      <c r="B42" s="2" t="n">
        <v>3625757</v>
      </c>
      <c r="C42" s="2" t="s">
        <v>21</v>
      </c>
      <c r="D42" s="2" t="s">
        <v>22</v>
      </c>
      <c r="E42" s="2" t="s">
        <v>22</v>
      </c>
      <c r="F42" s="2" t="s">
        <v>28</v>
      </c>
      <c r="G42" s="2" t="n">
        <v>4600004059</v>
      </c>
      <c r="H42" s="2" t="s">
        <v>29</v>
      </c>
      <c r="I42" s="3" t="n">
        <v>94.81</v>
      </c>
      <c r="J42" s="2" t="s">
        <v>30</v>
      </c>
      <c r="K42" s="2" t="n">
        <v>9</v>
      </c>
      <c r="L42" s="4" t="n">
        <v>46083</v>
      </c>
      <c r="M42" s="2" t="s">
        <v>31</v>
      </c>
      <c r="N42" s="5" t="n">
        <v>-23.59445801</v>
      </c>
      <c r="O42" s="5" t="n">
        <v>-46.41924494</v>
      </c>
      <c r="P42" s="2" t="str">
        <f aca="false">IF(AND(ISNUMBER(N42),ISNUMBER(O42)),SUBSTITUTE(N42,",",".")&amp;","&amp;SUBSTITUTE(O42,",","."),"Sem coordenadas")</f>
        <v>-23.59445801,-46.41924494</v>
      </c>
      <c r="Q42" s="6" t="str">
        <f aca="false">IF(ISNUMBER(N42),HYPERLINK("https://www.google.com/maps/search/?api=1&amp;query="&amp;P42,"Abrir no Maps"),"Sem coordenadas")</f>
        <v>Abrir no Maps</v>
      </c>
      <c r="R42" s="6" t="str">
        <f aca="false">IF(ISNUMBER(N42),HYPERLINK("https://www.google.com/maps/dir/?api=1&amp;destination="&amp;P42,"Traçar rota"),"Sem coordenadas")</f>
        <v>Traçar rota</v>
      </c>
      <c r="S42" s="6" t="str">
        <f aca="false">IF(ISNUMBER(N42),HYPERLINK("https://www.google.com/maps/@?api=1&amp;map_action=pano&amp;viewpoint="&amp;P42,"Street View"),"Sem coordenadas")</f>
        <v>Street View</v>
      </c>
      <c r="T42" s="6" t="str">
        <f aca="false">HYPERLINK("https://www.google.com/maps/d/edit?mid=1FhSs4z4XyVo8q6ywBexvTMaPd01oMt0&amp;usp=sharing","Abrir My Maps")</f>
        <v>Abrir My Maps</v>
      </c>
    </row>
    <row r="43" customFormat="false" ht="15" hidden="false" customHeight="false" outlineLevel="0" collapsed="false">
      <c r="A43" s="2" t="s">
        <v>79</v>
      </c>
      <c r="B43" s="2" t="n">
        <v>3625757</v>
      </c>
      <c r="C43" s="2" t="s">
        <v>21</v>
      </c>
      <c r="D43" s="2" t="s">
        <v>22</v>
      </c>
      <c r="E43" s="2" t="s">
        <v>22</v>
      </c>
      <c r="F43" s="2" t="s">
        <v>28</v>
      </c>
      <c r="G43" s="2" t="n">
        <v>4600004059</v>
      </c>
      <c r="H43" s="2" t="s">
        <v>29</v>
      </c>
      <c r="I43" s="3" t="n">
        <v>133.16</v>
      </c>
      <c r="J43" s="2" t="s">
        <v>30</v>
      </c>
      <c r="K43" s="2" t="n">
        <v>9</v>
      </c>
      <c r="L43" s="4" t="n">
        <v>46083</v>
      </c>
      <c r="M43" s="2" t="s">
        <v>31</v>
      </c>
      <c r="N43" s="5" t="n">
        <v>-23.59445801</v>
      </c>
      <c r="O43" s="5" t="n">
        <v>-46.41924494</v>
      </c>
      <c r="P43" s="2" t="str">
        <f aca="false">IF(AND(ISNUMBER(N43),ISNUMBER(O43)),SUBSTITUTE(N43,",",".")&amp;","&amp;SUBSTITUTE(O43,",","."),"Sem coordenadas")</f>
        <v>-23.59445801,-46.41924494</v>
      </c>
      <c r="Q43" s="6" t="str">
        <f aca="false">IF(ISNUMBER(N43),HYPERLINK("https://www.google.com/maps/search/?api=1&amp;query="&amp;P43,"Abrir no Maps"),"Sem coordenadas")</f>
        <v>Abrir no Maps</v>
      </c>
      <c r="R43" s="6" t="str">
        <f aca="false">IF(ISNUMBER(N43),HYPERLINK("https://www.google.com/maps/dir/?api=1&amp;destination="&amp;P43,"Traçar rota"),"Sem coordenadas")</f>
        <v>Traçar rota</v>
      </c>
      <c r="S43" s="6" t="str">
        <f aca="false">IF(ISNUMBER(N43),HYPERLINK("https://www.google.com/maps/@?api=1&amp;map_action=pano&amp;viewpoint="&amp;P43,"Street View"),"Sem coordenadas")</f>
        <v>Street View</v>
      </c>
      <c r="T43" s="6" t="str">
        <f aca="false">HYPERLINK("https://www.google.com/maps/d/edit?mid=1FhSs4z4XyVo8q6ywBexvTMaPd01oMt0&amp;usp=sharing","Abrir My Maps")</f>
        <v>Abrir My Maps</v>
      </c>
    </row>
    <row r="44" customFormat="false" ht="15" hidden="false" customHeight="false" outlineLevel="0" collapsed="false">
      <c r="A44" s="2" t="s">
        <v>80</v>
      </c>
      <c r="B44" s="2" t="n">
        <v>3625757</v>
      </c>
      <c r="C44" s="2" t="s">
        <v>21</v>
      </c>
      <c r="D44" s="2" t="s">
        <v>22</v>
      </c>
      <c r="E44" s="2" t="s">
        <v>22</v>
      </c>
      <c r="F44" s="2" t="s">
        <v>28</v>
      </c>
      <c r="G44" s="2" t="n">
        <v>4600004059</v>
      </c>
      <c r="H44" s="2" t="s">
        <v>29</v>
      </c>
      <c r="I44" s="3" t="n">
        <v>118.49</v>
      </c>
      <c r="J44" s="2" t="s">
        <v>30</v>
      </c>
      <c r="K44" s="2" t="n">
        <v>9</v>
      </c>
      <c r="L44" s="4" t="n">
        <v>46083</v>
      </c>
      <c r="M44" s="2" t="s">
        <v>31</v>
      </c>
      <c r="N44" s="5" t="n">
        <v>-23.59445801</v>
      </c>
      <c r="O44" s="5" t="n">
        <v>-46.41924494</v>
      </c>
      <c r="P44" s="2" t="str">
        <f aca="false">IF(AND(ISNUMBER(N44),ISNUMBER(O44)),SUBSTITUTE(N44,",",".")&amp;","&amp;SUBSTITUTE(O44,",","."),"Sem coordenadas")</f>
        <v>-23.59445801,-46.41924494</v>
      </c>
      <c r="Q44" s="6" t="str">
        <f aca="false">IF(ISNUMBER(N44),HYPERLINK("https://www.google.com/maps/search/?api=1&amp;query="&amp;P44,"Abrir no Maps"),"Sem coordenadas")</f>
        <v>Abrir no Maps</v>
      </c>
      <c r="R44" s="6" t="str">
        <f aca="false">IF(ISNUMBER(N44),HYPERLINK("https://www.google.com/maps/dir/?api=1&amp;destination="&amp;P44,"Traçar rota"),"Sem coordenadas")</f>
        <v>Traçar rota</v>
      </c>
      <c r="S44" s="6" t="str">
        <f aca="false">IF(ISNUMBER(N44),HYPERLINK("https://www.google.com/maps/@?api=1&amp;map_action=pano&amp;viewpoint="&amp;P44,"Street View"),"Sem coordenadas")</f>
        <v>Street View</v>
      </c>
      <c r="T44" s="6" t="str">
        <f aca="false">HYPERLINK("https://www.google.com/maps/d/edit?mid=1FhSs4z4XyVo8q6ywBexvTMaPd01oMt0&amp;usp=sharing","Abrir My Maps")</f>
        <v>Abrir My Maps</v>
      </c>
    </row>
    <row r="45" customFormat="false" ht="15" hidden="false" customHeight="false" outlineLevel="0" collapsed="false">
      <c r="A45" s="2" t="s">
        <v>81</v>
      </c>
      <c r="B45" s="2" t="n">
        <v>3632486</v>
      </c>
      <c r="C45" s="2" t="s">
        <v>21</v>
      </c>
      <c r="D45" s="2" t="s">
        <v>22</v>
      </c>
      <c r="E45" s="2" t="s">
        <v>22</v>
      </c>
      <c r="F45" s="2" t="s">
        <v>28</v>
      </c>
      <c r="G45" s="2" t="n">
        <v>4600004059</v>
      </c>
      <c r="H45" s="2" t="s">
        <v>29</v>
      </c>
      <c r="I45" s="3" t="n">
        <v>518.91</v>
      </c>
      <c r="J45" s="2" t="s">
        <v>82</v>
      </c>
      <c r="K45" s="2" t="n">
        <v>9</v>
      </c>
      <c r="L45" s="4" t="n">
        <v>46157</v>
      </c>
      <c r="M45" s="2" t="s">
        <v>31</v>
      </c>
      <c r="N45" s="5" t="n">
        <v>-23.57375564</v>
      </c>
      <c r="O45" s="5" t="n">
        <v>-46.43099164</v>
      </c>
      <c r="P45" s="2" t="str">
        <f aca="false">IF(AND(ISNUMBER(N45),ISNUMBER(O45)),SUBSTITUTE(N45,",",".")&amp;","&amp;SUBSTITUTE(O45,",","."),"Sem coordenadas")</f>
        <v>-23.57375564,-46.43099164</v>
      </c>
      <c r="Q45" s="6" t="str">
        <f aca="false">IF(ISNUMBER(N45),HYPERLINK("https://www.google.com/maps/search/?api=1&amp;query="&amp;P45,"Abrir no Maps"),"Sem coordenadas")</f>
        <v>Abrir no Maps</v>
      </c>
      <c r="R45" s="6" t="str">
        <f aca="false">IF(ISNUMBER(N45),HYPERLINK("https://www.google.com/maps/dir/?api=1&amp;destination="&amp;P45,"Traçar rota"),"Sem coordenadas")</f>
        <v>Traçar rota</v>
      </c>
      <c r="S45" s="6" t="str">
        <f aca="false">IF(ISNUMBER(N45),HYPERLINK("https://www.google.com/maps/@?api=1&amp;map_action=pano&amp;viewpoint="&amp;P45,"Street View"),"Sem coordenadas")</f>
        <v>Street View</v>
      </c>
      <c r="T45" s="6" t="str">
        <f aca="false">HYPERLINK("https://www.google.com/maps/d/edit?mid=1FhSs4z4XyVo8q6ywBexvTMaPd01oMt0&amp;usp=sharing","Abrir My Maps")</f>
        <v>Abrir My Maps</v>
      </c>
    </row>
    <row r="46" customFormat="false" ht="15" hidden="false" customHeight="false" outlineLevel="0" collapsed="false">
      <c r="A46" s="2" t="s">
        <v>83</v>
      </c>
      <c r="B46" s="2" t="n">
        <v>3625757</v>
      </c>
      <c r="C46" s="2" t="s">
        <v>21</v>
      </c>
      <c r="D46" s="2" t="s">
        <v>22</v>
      </c>
      <c r="E46" s="2" t="s">
        <v>22</v>
      </c>
      <c r="F46" s="2" t="s">
        <v>28</v>
      </c>
      <c r="G46" s="2" t="n">
        <v>4600004059</v>
      </c>
      <c r="H46" s="2" t="s">
        <v>29</v>
      </c>
      <c r="I46" s="3" t="n">
        <v>137.24</v>
      </c>
      <c r="J46" s="2" t="s">
        <v>30</v>
      </c>
      <c r="K46" s="2" t="n">
        <v>9</v>
      </c>
      <c r="L46" s="4" t="n">
        <v>46083</v>
      </c>
      <c r="M46" s="2" t="s">
        <v>31</v>
      </c>
      <c r="N46" s="5" t="n">
        <v>-23.59445801</v>
      </c>
      <c r="O46" s="5" t="n">
        <v>-46.41924494</v>
      </c>
      <c r="P46" s="2" t="str">
        <f aca="false">IF(AND(ISNUMBER(N46),ISNUMBER(O46)),SUBSTITUTE(N46,",",".")&amp;","&amp;SUBSTITUTE(O46,",","."),"Sem coordenadas")</f>
        <v>-23.59445801,-46.41924494</v>
      </c>
      <c r="Q46" s="6" t="str">
        <f aca="false">IF(ISNUMBER(N46),HYPERLINK("https://www.google.com/maps/search/?api=1&amp;query="&amp;P46,"Abrir no Maps"),"Sem coordenadas")</f>
        <v>Abrir no Maps</v>
      </c>
      <c r="R46" s="6" t="str">
        <f aca="false">IF(ISNUMBER(N46),HYPERLINK("https://www.google.com/maps/dir/?api=1&amp;destination="&amp;P46,"Traçar rota"),"Sem coordenadas")</f>
        <v>Traçar rota</v>
      </c>
      <c r="S46" s="6" t="str">
        <f aca="false">IF(ISNUMBER(N46),HYPERLINK("https://www.google.com/maps/@?api=1&amp;map_action=pano&amp;viewpoint="&amp;P46,"Street View"),"Sem coordenadas")</f>
        <v>Street View</v>
      </c>
      <c r="T46" s="6" t="str">
        <f aca="false">HYPERLINK("https://www.google.com/maps/d/edit?mid=1FhSs4z4XyVo8q6ywBexvTMaPd01oMt0&amp;usp=sharing","Abrir My Maps")</f>
        <v>Abrir My Maps</v>
      </c>
    </row>
    <row r="47" customFormat="false" ht="15" hidden="false" customHeight="false" outlineLevel="0" collapsed="false">
      <c r="A47" s="2" t="s">
        <v>84</v>
      </c>
      <c r="B47" s="2" t="n">
        <v>3632482</v>
      </c>
      <c r="C47" s="2" t="s">
        <v>21</v>
      </c>
      <c r="D47" s="2" t="s">
        <v>22</v>
      </c>
      <c r="E47" s="2" t="s">
        <v>22</v>
      </c>
      <c r="F47" s="2" t="s">
        <v>36</v>
      </c>
      <c r="G47" s="2" t="n">
        <v>4600004059</v>
      </c>
      <c r="H47" s="2" t="s">
        <v>29</v>
      </c>
      <c r="I47" s="3" t="n">
        <v>321.38</v>
      </c>
      <c r="J47" s="2" t="s">
        <v>45</v>
      </c>
      <c r="K47" s="2" t="n">
        <v>9</v>
      </c>
      <c r="L47" s="4" t="n">
        <v>46154</v>
      </c>
      <c r="M47" s="2" t="s">
        <v>31</v>
      </c>
      <c r="N47" s="5"/>
      <c r="O47" s="5"/>
      <c r="P47" s="2" t="str">
        <f aca="false">IF(AND(ISNUMBER(N47),ISNUMBER(O47)),SUBSTITUTE(N47,",",".")&amp;","&amp;SUBSTITUTE(O47,",","."),"Sem coordenadas")</f>
        <v>Sem coordenadas</v>
      </c>
      <c r="Q47" s="6" t="str">
        <f aca="false">IF(ISNUMBER(N47),HYPERLINK("https://www.google.com/maps/search/?api=1&amp;query="&amp;P47,"Abrir no Maps"),"Sem coordenadas")</f>
        <v>Sem coordenadas</v>
      </c>
      <c r="R47" s="6" t="str">
        <f aca="false">IF(ISNUMBER(N47),HYPERLINK("https://www.google.com/maps/dir/?api=1&amp;destination="&amp;P47,"Traçar rota"),"Sem coordenadas")</f>
        <v>Sem coordenadas</v>
      </c>
      <c r="S47" s="6" t="str">
        <f aca="false">IF(ISNUMBER(N47),HYPERLINK("https://www.google.com/maps/@?api=1&amp;map_action=pano&amp;viewpoint="&amp;P47,"Street View"),"Sem coordenadas")</f>
        <v>Sem coordenadas</v>
      </c>
      <c r="T47" s="6" t="str">
        <f aca="false">HYPERLINK("https://www.google.com/maps/d/edit?mid=1FhSs4z4XyVo8q6ywBexvTMaPd01oMt0&amp;usp=sharing","Abrir My Maps")</f>
        <v>Abrir My Maps</v>
      </c>
    </row>
    <row r="48" customFormat="false" ht="15" hidden="false" customHeight="false" outlineLevel="0" collapsed="false">
      <c r="A48" s="2" t="s">
        <v>85</v>
      </c>
      <c r="B48" s="2" t="n">
        <v>3625757</v>
      </c>
      <c r="C48" s="2" t="s">
        <v>21</v>
      </c>
      <c r="D48" s="2" t="s">
        <v>22</v>
      </c>
      <c r="E48" s="2" t="s">
        <v>22</v>
      </c>
      <c r="F48" s="2" t="s">
        <v>28</v>
      </c>
      <c r="G48" s="2" t="n">
        <v>4600004059</v>
      </c>
      <c r="H48" s="2" t="s">
        <v>29</v>
      </c>
      <c r="I48" s="3" t="n">
        <v>100.99</v>
      </c>
      <c r="J48" s="2" t="s">
        <v>30</v>
      </c>
      <c r="K48" s="2" t="n">
        <v>9</v>
      </c>
      <c r="L48" s="4" t="n">
        <v>46083</v>
      </c>
      <c r="M48" s="2" t="s">
        <v>31</v>
      </c>
      <c r="N48" s="5" t="n">
        <v>-23.59445801</v>
      </c>
      <c r="O48" s="5" t="n">
        <v>-46.41924494</v>
      </c>
      <c r="P48" s="2" t="str">
        <f aca="false">IF(AND(ISNUMBER(N48),ISNUMBER(O48)),SUBSTITUTE(N48,",",".")&amp;","&amp;SUBSTITUTE(O48,",","."),"Sem coordenadas")</f>
        <v>-23.59445801,-46.41924494</v>
      </c>
      <c r="Q48" s="6" t="str">
        <f aca="false">IF(ISNUMBER(N48),HYPERLINK("https://www.google.com/maps/search/?api=1&amp;query="&amp;P48,"Abrir no Maps"),"Sem coordenadas")</f>
        <v>Abrir no Maps</v>
      </c>
      <c r="R48" s="6" t="str">
        <f aca="false">IF(ISNUMBER(N48),HYPERLINK("https://www.google.com/maps/dir/?api=1&amp;destination="&amp;P48,"Traçar rota"),"Sem coordenadas")</f>
        <v>Traçar rota</v>
      </c>
      <c r="S48" s="6" t="str">
        <f aca="false">IF(ISNUMBER(N48),HYPERLINK("https://www.google.com/maps/@?api=1&amp;map_action=pano&amp;viewpoint="&amp;P48,"Street View"),"Sem coordenadas")</f>
        <v>Street View</v>
      </c>
      <c r="T48" s="6" t="str">
        <f aca="false">HYPERLINK("https://www.google.com/maps/d/edit?mid=1FhSs4z4XyVo8q6ywBexvTMaPd01oMt0&amp;usp=sharing","Abrir My Maps")</f>
        <v>Abrir My Maps</v>
      </c>
    </row>
    <row r="49" customFormat="false" ht="15" hidden="false" customHeight="false" outlineLevel="0" collapsed="false">
      <c r="A49" s="2" t="s">
        <v>86</v>
      </c>
      <c r="B49" s="2" t="n">
        <v>3625757</v>
      </c>
      <c r="C49" s="2" t="s">
        <v>21</v>
      </c>
      <c r="D49" s="2" t="s">
        <v>22</v>
      </c>
      <c r="E49" s="2" t="s">
        <v>22</v>
      </c>
      <c r="F49" s="2" t="s">
        <v>28</v>
      </c>
      <c r="G49" s="2" t="n">
        <v>4600004059</v>
      </c>
      <c r="H49" s="2" t="s">
        <v>29</v>
      </c>
      <c r="I49" s="3" t="n">
        <v>134.16</v>
      </c>
      <c r="J49" s="2" t="s">
        <v>30</v>
      </c>
      <c r="K49" s="2" t="n">
        <v>9</v>
      </c>
      <c r="L49" s="4" t="n">
        <v>46083</v>
      </c>
      <c r="M49" s="2" t="s">
        <v>31</v>
      </c>
      <c r="N49" s="5" t="n">
        <v>-23.59445801</v>
      </c>
      <c r="O49" s="5" t="n">
        <v>-46.41924494</v>
      </c>
      <c r="P49" s="2" t="str">
        <f aca="false">IF(AND(ISNUMBER(N49),ISNUMBER(O49)),SUBSTITUTE(N49,",",".")&amp;","&amp;SUBSTITUTE(O49,",","."),"Sem coordenadas")</f>
        <v>-23.59445801,-46.41924494</v>
      </c>
      <c r="Q49" s="6" t="str">
        <f aca="false">IF(ISNUMBER(N49),HYPERLINK("https://www.google.com/maps/search/?api=1&amp;query="&amp;P49,"Abrir no Maps"),"Sem coordenadas")</f>
        <v>Abrir no Maps</v>
      </c>
      <c r="R49" s="6" t="str">
        <f aca="false">IF(ISNUMBER(N49),HYPERLINK("https://www.google.com/maps/dir/?api=1&amp;destination="&amp;P49,"Traçar rota"),"Sem coordenadas")</f>
        <v>Traçar rota</v>
      </c>
      <c r="S49" s="6" t="str">
        <f aca="false">IF(ISNUMBER(N49),HYPERLINK("https://www.google.com/maps/@?api=1&amp;map_action=pano&amp;viewpoint="&amp;P49,"Street View"),"Sem coordenadas")</f>
        <v>Street View</v>
      </c>
      <c r="T49" s="6" t="str">
        <f aca="false">HYPERLINK("https://www.google.com/maps/d/edit?mid=1FhSs4z4XyVo8q6ywBexvTMaPd01oMt0&amp;usp=sharing","Abrir My Maps")</f>
        <v>Abrir My Maps</v>
      </c>
    </row>
    <row r="50" customFormat="false" ht="15" hidden="false" customHeight="false" outlineLevel="0" collapsed="false">
      <c r="A50" s="2" t="s">
        <v>87</v>
      </c>
      <c r="B50" s="2" t="n">
        <v>3625757</v>
      </c>
      <c r="C50" s="2" t="s">
        <v>21</v>
      </c>
      <c r="D50" s="2" t="s">
        <v>22</v>
      </c>
      <c r="E50" s="2" t="s">
        <v>22</v>
      </c>
      <c r="F50" s="2" t="s">
        <v>36</v>
      </c>
      <c r="G50" s="2" t="n">
        <v>4600004059</v>
      </c>
      <c r="H50" s="2" t="s">
        <v>29</v>
      </c>
      <c r="I50" s="3" t="n">
        <v>156.18</v>
      </c>
      <c r="J50" s="2" t="s">
        <v>30</v>
      </c>
      <c r="K50" s="2" t="n">
        <v>9</v>
      </c>
      <c r="L50" s="4" t="n">
        <v>46083</v>
      </c>
      <c r="M50" s="2" t="s">
        <v>31</v>
      </c>
      <c r="N50" s="5" t="n">
        <v>-23.59445801</v>
      </c>
      <c r="O50" s="5" t="n">
        <v>-46.41924494</v>
      </c>
      <c r="P50" s="2" t="str">
        <f aca="false">IF(AND(ISNUMBER(N50),ISNUMBER(O50)),SUBSTITUTE(N50,",",".")&amp;","&amp;SUBSTITUTE(O50,",","."),"Sem coordenadas")</f>
        <v>-23.59445801,-46.41924494</v>
      </c>
      <c r="Q50" s="6" t="str">
        <f aca="false">IF(ISNUMBER(N50),HYPERLINK("https://www.google.com/maps/search/?api=1&amp;query="&amp;P50,"Abrir no Maps"),"Sem coordenadas")</f>
        <v>Abrir no Maps</v>
      </c>
      <c r="R50" s="6" t="str">
        <f aca="false">IF(ISNUMBER(N50),HYPERLINK("https://www.google.com/maps/dir/?api=1&amp;destination="&amp;P50,"Traçar rota"),"Sem coordenadas")</f>
        <v>Traçar rota</v>
      </c>
      <c r="S50" s="6" t="str">
        <f aca="false">IF(ISNUMBER(N50),HYPERLINK("https://www.google.com/maps/@?api=1&amp;map_action=pano&amp;viewpoint="&amp;P50,"Street View"),"Sem coordenadas")</f>
        <v>Street View</v>
      </c>
      <c r="T50" s="6" t="str">
        <f aca="false">HYPERLINK("https://www.google.com/maps/d/edit?mid=1FhSs4z4XyVo8q6ywBexvTMaPd01oMt0&amp;usp=sharing","Abrir My Maps")</f>
        <v>Abrir My Maps</v>
      </c>
    </row>
    <row r="51" customFormat="false" ht="15" hidden="false" customHeight="false" outlineLevel="0" collapsed="false">
      <c r="A51" s="2" t="s">
        <v>88</v>
      </c>
      <c r="B51" s="2" t="n">
        <v>3625757</v>
      </c>
      <c r="C51" s="2" t="s">
        <v>21</v>
      </c>
      <c r="D51" s="2" t="s">
        <v>22</v>
      </c>
      <c r="E51" s="2" t="s">
        <v>22</v>
      </c>
      <c r="F51" s="2" t="s">
        <v>28</v>
      </c>
      <c r="G51" s="2" t="n">
        <v>4600004059</v>
      </c>
      <c r="H51" s="2" t="s">
        <v>29</v>
      </c>
      <c r="I51" s="3" t="n">
        <v>134.42</v>
      </c>
      <c r="J51" s="2" t="s">
        <v>30</v>
      </c>
      <c r="K51" s="2" t="n">
        <v>9</v>
      </c>
      <c r="L51" s="4" t="n">
        <v>46083</v>
      </c>
      <c r="M51" s="2" t="s">
        <v>31</v>
      </c>
      <c r="N51" s="5" t="n">
        <v>-23.59445801</v>
      </c>
      <c r="O51" s="5" t="n">
        <v>-46.41924494</v>
      </c>
      <c r="P51" s="2" t="str">
        <f aca="false">IF(AND(ISNUMBER(N51),ISNUMBER(O51)),SUBSTITUTE(N51,",",".")&amp;","&amp;SUBSTITUTE(O51,",","."),"Sem coordenadas")</f>
        <v>-23.59445801,-46.41924494</v>
      </c>
      <c r="Q51" s="6" t="str">
        <f aca="false">IF(ISNUMBER(N51),HYPERLINK("https://www.google.com/maps/search/?api=1&amp;query="&amp;P51,"Abrir no Maps"),"Sem coordenadas")</f>
        <v>Abrir no Maps</v>
      </c>
      <c r="R51" s="6" t="str">
        <f aca="false">IF(ISNUMBER(N51),HYPERLINK("https://www.google.com/maps/dir/?api=1&amp;destination="&amp;P51,"Traçar rota"),"Sem coordenadas")</f>
        <v>Traçar rota</v>
      </c>
      <c r="S51" s="6" t="str">
        <f aca="false">IF(ISNUMBER(N51),HYPERLINK("https://www.google.com/maps/@?api=1&amp;map_action=pano&amp;viewpoint="&amp;P51,"Street View"),"Sem coordenadas")</f>
        <v>Street View</v>
      </c>
      <c r="T51" s="6" t="str">
        <f aca="false">HYPERLINK("https://www.google.com/maps/d/edit?mid=1FhSs4z4XyVo8q6ywBexvTMaPd01oMt0&amp;usp=sharing","Abrir My Maps")</f>
        <v>Abrir My Maps</v>
      </c>
    </row>
    <row r="52" customFormat="false" ht="15" hidden="false" customHeight="false" outlineLevel="0" collapsed="false">
      <c r="A52" s="2" t="s">
        <v>89</v>
      </c>
      <c r="B52" s="2" t="n">
        <v>3625757</v>
      </c>
      <c r="C52" s="2" t="s">
        <v>21</v>
      </c>
      <c r="D52" s="2" t="s">
        <v>22</v>
      </c>
      <c r="E52" s="2" t="s">
        <v>22</v>
      </c>
      <c r="F52" s="2" t="s">
        <v>28</v>
      </c>
      <c r="G52" s="2" t="n">
        <v>4600004059</v>
      </c>
      <c r="H52" s="2" t="s">
        <v>29</v>
      </c>
      <c r="I52" s="3" t="n">
        <v>84.56</v>
      </c>
      <c r="J52" s="2" t="s">
        <v>30</v>
      </c>
      <c r="K52" s="2" t="n">
        <v>9</v>
      </c>
      <c r="L52" s="4" t="n">
        <v>46083</v>
      </c>
      <c r="M52" s="2" t="s">
        <v>31</v>
      </c>
      <c r="N52" s="5" t="n">
        <v>-23.59445801</v>
      </c>
      <c r="O52" s="5" t="n">
        <v>-46.41924494</v>
      </c>
      <c r="P52" s="2" t="str">
        <f aca="false">IF(AND(ISNUMBER(N52),ISNUMBER(O52)),SUBSTITUTE(N52,",",".")&amp;","&amp;SUBSTITUTE(O52,",","."),"Sem coordenadas")</f>
        <v>-23.59445801,-46.41924494</v>
      </c>
      <c r="Q52" s="6" t="str">
        <f aca="false">IF(ISNUMBER(N52),HYPERLINK("https://www.google.com/maps/search/?api=1&amp;query="&amp;P52,"Abrir no Maps"),"Sem coordenadas")</f>
        <v>Abrir no Maps</v>
      </c>
      <c r="R52" s="6" t="str">
        <f aca="false">IF(ISNUMBER(N52),HYPERLINK("https://www.google.com/maps/dir/?api=1&amp;destination="&amp;P52,"Traçar rota"),"Sem coordenadas")</f>
        <v>Traçar rota</v>
      </c>
      <c r="S52" s="6" t="str">
        <f aca="false">IF(ISNUMBER(N52),HYPERLINK("https://www.google.com/maps/@?api=1&amp;map_action=pano&amp;viewpoint="&amp;P52,"Street View"),"Sem coordenadas")</f>
        <v>Street View</v>
      </c>
      <c r="T52" s="6" t="str">
        <f aca="false">HYPERLINK("https://www.google.com/maps/d/edit?mid=1FhSs4z4XyVo8q6ywBexvTMaPd01oMt0&amp;usp=sharing","Abrir My Maps")</f>
        <v>Abrir My Maps</v>
      </c>
    </row>
    <row r="53" customFormat="false" ht="15" hidden="false" customHeight="false" outlineLevel="0" collapsed="false">
      <c r="A53" s="2" t="s">
        <v>90</v>
      </c>
      <c r="B53" s="2" t="n">
        <v>3625757</v>
      </c>
      <c r="C53" s="2" t="s">
        <v>21</v>
      </c>
      <c r="D53" s="2" t="s">
        <v>22</v>
      </c>
      <c r="E53" s="2" t="s">
        <v>22</v>
      </c>
      <c r="F53" s="2" t="s">
        <v>28</v>
      </c>
      <c r="G53" s="2" t="n">
        <v>4600004059</v>
      </c>
      <c r="H53" s="2" t="s">
        <v>29</v>
      </c>
      <c r="I53" s="3" t="n">
        <v>91.78</v>
      </c>
      <c r="J53" s="2" t="s">
        <v>30</v>
      </c>
      <c r="K53" s="2" t="n">
        <v>9</v>
      </c>
      <c r="L53" s="4" t="n">
        <v>46083</v>
      </c>
      <c r="M53" s="2" t="s">
        <v>31</v>
      </c>
      <c r="N53" s="5" t="n">
        <v>-23.59445801</v>
      </c>
      <c r="O53" s="5" t="n">
        <v>-46.41924494</v>
      </c>
      <c r="P53" s="2" t="str">
        <f aca="false">IF(AND(ISNUMBER(N53),ISNUMBER(O53)),SUBSTITUTE(N53,",",".")&amp;","&amp;SUBSTITUTE(O53,",","."),"Sem coordenadas")</f>
        <v>-23.59445801,-46.41924494</v>
      </c>
      <c r="Q53" s="6" t="str">
        <f aca="false">IF(ISNUMBER(N53),HYPERLINK("https://www.google.com/maps/search/?api=1&amp;query="&amp;P53,"Abrir no Maps"),"Sem coordenadas")</f>
        <v>Abrir no Maps</v>
      </c>
      <c r="R53" s="6" t="str">
        <f aca="false">IF(ISNUMBER(N53),HYPERLINK("https://www.google.com/maps/dir/?api=1&amp;destination="&amp;P53,"Traçar rota"),"Sem coordenadas")</f>
        <v>Traçar rota</v>
      </c>
      <c r="S53" s="6" t="str">
        <f aca="false">IF(ISNUMBER(N53),HYPERLINK("https://www.google.com/maps/@?api=1&amp;map_action=pano&amp;viewpoint="&amp;P53,"Street View"),"Sem coordenadas")</f>
        <v>Street View</v>
      </c>
      <c r="T53" s="6" t="str">
        <f aca="false">HYPERLINK("https://www.google.com/maps/d/edit?mid=1FhSs4z4XyVo8q6ywBexvTMaPd01oMt0&amp;usp=sharing","Abrir My Maps")</f>
        <v>Abrir My Maps</v>
      </c>
    </row>
    <row r="54" customFormat="false" ht="15" hidden="false" customHeight="false" outlineLevel="0" collapsed="false">
      <c r="A54" s="2" t="s">
        <v>91</v>
      </c>
      <c r="B54" s="2" t="n">
        <v>3625757</v>
      </c>
      <c r="C54" s="2" t="s">
        <v>21</v>
      </c>
      <c r="D54" s="2" t="s">
        <v>22</v>
      </c>
      <c r="E54" s="2" t="s">
        <v>22</v>
      </c>
      <c r="F54" s="2" t="s">
        <v>28</v>
      </c>
      <c r="G54" s="2" t="n">
        <v>4600004059</v>
      </c>
      <c r="H54" s="2" t="s">
        <v>29</v>
      </c>
      <c r="I54" s="3" t="n">
        <v>116.42</v>
      </c>
      <c r="J54" s="2" t="s">
        <v>30</v>
      </c>
      <c r="K54" s="2" t="n">
        <v>9</v>
      </c>
      <c r="L54" s="4" t="n">
        <v>46083</v>
      </c>
      <c r="M54" s="2" t="s">
        <v>31</v>
      </c>
      <c r="N54" s="5" t="n">
        <v>-23.59445801</v>
      </c>
      <c r="O54" s="5" t="n">
        <v>-46.41924494</v>
      </c>
      <c r="P54" s="2" t="str">
        <f aca="false">IF(AND(ISNUMBER(N54),ISNUMBER(O54)),SUBSTITUTE(N54,",",".")&amp;","&amp;SUBSTITUTE(O54,",","."),"Sem coordenadas")</f>
        <v>-23.59445801,-46.41924494</v>
      </c>
      <c r="Q54" s="6" t="str">
        <f aca="false">IF(ISNUMBER(N54),HYPERLINK("https://www.google.com/maps/search/?api=1&amp;query="&amp;P54,"Abrir no Maps"),"Sem coordenadas")</f>
        <v>Abrir no Maps</v>
      </c>
      <c r="R54" s="6" t="str">
        <f aca="false">IF(ISNUMBER(N54),HYPERLINK("https://www.google.com/maps/dir/?api=1&amp;destination="&amp;P54,"Traçar rota"),"Sem coordenadas")</f>
        <v>Traçar rota</v>
      </c>
      <c r="S54" s="6" t="str">
        <f aca="false">IF(ISNUMBER(N54),HYPERLINK("https://www.google.com/maps/@?api=1&amp;map_action=pano&amp;viewpoint="&amp;P54,"Street View"),"Sem coordenadas")</f>
        <v>Street View</v>
      </c>
      <c r="T54" s="6" t="str">
        <f aca="false">HYPERLINK("https://www.google.com/maps/d/edit?mid=1FhSs4z4XyVo8q6ywBexvTMaPd01oMt0&amp;usp=sharing","Abrir My Maps")</f>
        <v>Abrir My Maps</v>
      </c>
    </row>
    <row r="55" customFormat="false" ht="15" hidden="false" customHeight="false" outlineLevel="0" collapsed="false">
      <c r="A55" s="2" t="s">
        <v>92</v>
      </c>
      <c r="B55" s="2" t="n">
        <v>3625757</v>
      </c>
      <c r="C55" s="2" t="s">
        <v>21</v>
      </c>
      <c r="D55" s="2" t="s">
        <v>22</v>
      </c>
      <c r="E55" s="2" t="s">
        <v>22</v>
      </c>
      <c r="F55" s="2" t="s">
        <v>28</v>
      </c>
      <c r="G55" s="2" t="n">
        <v>4600004059</v>
      </c>
      <c r="H55" s="2" t="s">
        <v>29</v>
      </c>
      <c r="I55" s="3" t="n">
        <v>184</v>
      </c>
      <c r="J55" s="2" t="s">
        <v>30</v>
      </c>
      <c r="K55" s="2" t="n">
        <v>9</v>
      </c>
      <c r="L55" s="4" t="n">
        <v>46083</v>
      </c>
      <c r="M55" s="2" t="s">
        <v>31</v>
      </c>
      <c r="N55" s="5" t="n">
        <v>-23.59445801</v>
      </c>
      <c r="O55" s="5" t="n">
        <v>-46.41924494</v>
      </c>
      <c r="P55" s="2" t="str">
        <f aca="false">IF(AND(ISNUMBER(N55),ISNUMBER(O55)),SUBSTITUTE(N55,",",".")&amp;","&amp;SUBSTITUTE(O55,",","."),"Sem coordenadas")</f>
        <v>-23.59445801,-46.41924494</v>
      </c>
      <c r="Q55" s="6" t="str">
        <f aca="false">IF(ISNUMBER(N55),HYPERLINK("https://www.google.com/maps/search/?api=1&amp;query="&amp;P55,"Abrir no Maps"),"Sem coordenadas")</f>
        <v>Abrir no Maps</v>
      </c>
      <c r="R55" s="6" t="str">
        <f aca="false">IF(ISNUMBER(N55),HYPERLINK("https://www.google.com/maps/dir/?api=1&amp;destination="&amp;P55,"Traçar rota"),"Sem coordenadas")</f>
        <v>Traçar rota</v>
      </c>
      <c r="S55" s="6" t="str">
        <f aca="false">IF(ISNUMBER(N55),HYPERLINK("https://www.google.com/maps/@?api=1&amp;map_action=pano&amp;viewpoint="&amp;P55,"Street View"),"Sem coordenadas")</f>
        <v>Street View</v>
      </c>
      <c r="T55" s="6" t="str">
        <f aca="false">HYPERLINK("https://www.google.com/maps/d/edit?mid=1FhSs4z4XyVo8q6ywBexvTMaPd01oMt0&amp;usp=sharing","Abrir My Maps")</f>
        <v>Abrir My Maps</v>
      </c>
    </row>
    <row r="56" customFormat="false" ht="15" hidden="false" customHeight="false" outlineLevel="0" collapsed="false">
      <c r="A56" s="2" t="s">
        <v>93</v>
      </c>
      <c r="B56" s="2" t="n">
        <v>3625757</v>
      </c>
      <c r="C56" s="2" t="s">
        <v>21</v>
      </c>
      <c r="D56" s="2" t="s">
        <v>22</v>
      </c>
      <c r="E56" s="2" t="s">
        <v>22</v>
      </c>
      <c r="F56" s="2" t="s">
        <v>36</v>
      </c>
      <c r="G56" s="2" t="n">
        <v>4600004059</v>
      </c>
      <c r="H56" s="2" t="s">
        <v>29</v>
      </c>
      <c r="I56" s="3" t="n">
        <v>193.95</v>
      </c>
      <c r="J56" s="2" t="s">
        <v>30</v>
      </c>
      <c r="K56" s="2" t="n">
        <v>9</v>
      </c>
      <c r="L56" s="4" t="n">
        <v>46083</v>
      </c>
      <c r="M56" s="2" t="s">
        <v>31</v>
      </c>
      <c r="N56" s="5" t="n">
        <v>-23.59445801</v>
      </c>
      <c r="O56" s="5" t="n">
        <v>-46.41924494</v>
      </c>
      <c r="P56" s="2" t="str">
        <f aca="false">IF(AND(ISNUMBER(N56),ISNUMBER(O56)),SUBSTITUTE(N56,",",".")&amp;","&amp;SUBSTITUTE(O56,",","."),"Sem coordenadas")</f>
        <v>-23.59445801,-46.41924494</v>
      </c>
      <c r="Q56" s="6" t="str">
        <f aca="false">IF(ISNUMBER(N56),HYPERLINK("https://www.google.com/maps/search/?api=1&amp;query="&amp;P56,"Abrir no Maps"),"Sem coordenadas")</f>
        <v>Abrir no Maps</v>
      </c>
      <c r="R56" s="6" t="str">
        <f aca="false">IF(ISNUMBER(N56),HYPERLINK("https://www.google.com/maps/dir/?api=1&amp;destination="&amp;P56,"Traçar rota"),"Sem coordenadas")</f>
        <v>Traçar rota</v>
      </c>
      <c r="S56" s="6" t="str">
        <f aca="false">IF(ISNUMBER(N56),HYPERLINK("https://www.google.com/maps/@?api=1&amp;map_action=pano&amp;viewpoint="&amp;P56,"Street View"),"Sem coordenadas")</f>
        <v>Street View</v>
      </c>
      <c r="T56" s="6" t="str">
        <f aca="false">HYPERLINK("https://www.google.com/maps/d/edit?mid=1FhSs4z4XyVo8q6ywBexvTMaPd01oMt0&amp;usp=sharing","Abrir My Maps")</f>
        <v>Abrir My Maps</v>
      </c>
    </row>
    <row r="57" customFormat="false" ht="15" hidden="false" customHeight="false" outlineLevel="0" collapsed="false">
      <c r="A57" s="2" t="s">
        <v>94</v>
      </c>
      <c r="B57" s="2" t="n">
        <v>3632485</v>
      </c>
      <c r="C57" s="2" t="s">
        <v>21</v>
      </c>
      <c r="D57" s="2" t="s">
        <v>22</v>
      </c>
      <c r="E57" s="2" t="s">
        <v>22</v>
      </c>
      <c r="F57" s="2" t="s">
        <v>28</v>
      </c>
      <c r="G57" s="2" t="n">
        <v>4600004059</v>
      </c>
      <c r="H57" s="2" t="s">
        <v>29</v>
      </c>
      <c r="I57" s="3" t="n">
        <v>253.5</v>
      </c>
      <c r="J57" s="2" t="s">
        <v>30</v>
      </c>
      <c r="K57" s="2" t="n">
        <v>9</v>
      </c>
      <c r="L57" s="4" t="n">
        <v>46157</v>
      </c>
      <c r="M57" s="2" t="s">
        <v>31</v>
      </c>
      <c r="N57" s="5" t="n">
        <v>-23.57598536</v>
      </c>
      <c r="O57" s="5" t="n">
        <v>-46.42970663</v>
      </c>
      <c r="P57" s="2" t="str">
        <f aca="false">IF(AND(ISNUMBER(N57),ISNUMBER(O57)),SUBSTITUTE(N57,",",".")&amp;","&amp;SUBSTITUTE(O57,",","."),"Sem coordenadas")</f>
        <v>-23.57598536,-46.42970663</v>
      </c>
      <c r="Q57" s="6" t="str">
        <f aca="false">IF(ISNUMBER(N57),HYPERLINK("https://www.google.com/maps/search/?api=1&amp;query="&amp;P57,"Abrir no Maps"),"Sem coordenadas")</f>
        <v>Abrir no Maps</v>
      </c>
      <c r="R57" s="6" t="str">
        <f aca="false">IF(ISNUMBER(N57),HYPERLINK("https://www.google.com/maps/dir/?api=1&amp;destination="&amp;P57,"Traçar rota"),"Sem coordenadas")</f>
        <v>Traçar rota</v>
      </c>
      <c r="S57" s="6" t="str">
        <f aca="false">IF(ISNUMBER(N57),HYPERLINK("https://www.google.com/maps/@?api=1&amp;map_action=pano&amp;viewpoint="&amp;P57,"Street View"),"Sem coordenadas")</f>
        <v>Street View</v>
      </c>
      <c r="T57" s="6" t="str">
        <f aca="false">HYPERLINK("https://www.google.com/maps/d/edit?mid=1FhSs4z4XyVo8q6ywBexvTMaPd01oMt0&amp;usp=sharing","Abrir My Maps")</f>
        <v>Abrir My Maps</v>
      </c>
    </row>
    <row r="58" customFormat="false" ht="15" hidden="false" customHeight="false" outlineLevel="0" collapsed="false">
      <c r="A58" s="2" t="s">
        <v>95</v>
      </c>
      <c r="B58" s="2" t="n">
        <v>3632488</v>
      </c>
      <c r="C58" s="2" t="s">
        <v>21</v>
      </c>
      <c r="D58" s="2" t="s">
        <v>22</v>
      </c>
      <c r="E58" s="2" t="s">
        <v>22</v>
      </c>
      <c r="F58" s="2" t="s">
        <v>36</v>
      </c>
      <c r="G58" s="2" t="n">
        <v>4600004059</v>
      </c>
      <c r="H58" s="2" t="s">
        <v>29</v>
      </c>
      <c r="I58" s="3" t="n">
        <v>115.28</v>
      </c>
      <c r="J58" s="2" t="s">
        <v>96</v>
      </c>
      <c r="K58" s="2" t="n">
        <v>9</v>
      </c>
      <c r="L58" s="4" t="n">
        <v>46150</v>
      </c>
      <c r="M58" s="2" t="s">
        <v>31</v>
      </c>
      <c r="N58" s="5" t="n">
        <v>-23.58268678</v>
      </c>
      <c r="O58" s="5" t="n">
        <v>-46.45236294</v>
      </c>
      <c r="P58" s="2" t="str">
        <f aca="false">IF(AND(ISNUMBER(N58),ISNUMBER(O58)),SUBSTITUTE(N58,",",".")&amp;","&amp;SUBSTITUTE(O58,",","."),"Sem coordenadas")</f>
        <v>-23.58268678,-46.45236294</v>
      </c>
      <c r="Q58" s="6" t="str">
        <f aca="false">IF(ISNUMBER(N58),HYPERLINK("https://www.google.com/maps/search/?api=1&amp;query="&amp;P58,"Abrir no Maps"),"Sem coordenadas")</f>
        <v>Abrir no Maps</v>
      </c>
      <c r="R58" s="6" t="str">
        <f aca="false">IF(ISNUMBER(N58),HYPERLINK("https://www.google.com/maps/dir/?api=1&amp;destination="&amp;P58,"Traçar rota"),"Sem coordenadas")</f>
        <v>Traçar rota</v>
      </c>
      <c r="S58" s="6" t="str">
        <f aca="false">IF(ISNUMBER(N58),HYPERLINK("https://www.google.com/maps/@?api=1&amp;map_action=pano&amp;viewpoint="&amp;P58,"Street View"),"Sem coordenadas")</f>
        <v>Street View</v>
      </c>
      <c r="T58" s="6" t="str">
        <f aca="false">HYPERLINK("https://www.google.com/maps/d/edit?mid=1FhSs4z4XyVo8q6ywBexvTMaPd01oMt0&amp;usp=sharing","Abrir My Maps")</f>
        <v>Abrir My Maps</v>
      </c>
    </row>
    <row r="59" customFormat="false" ht="15" hidden="false" customHeight="false" outlineLevel="0" collapsed="false">
      <c r="A59" s="2" t="s">
        <v>97</v>
      </c>
      <c r="B59" s="2" t="n">
        <v>3635330</v>
      </c>
      <c r="C59" s="2" t="s">
        <v>21</v>
      </c>
      <c r="D59" s="2" t="s">
        <v>22</v>
      </c>
      <c r="E59" s="2" t="s">
        <v>22</v>
      </c>
      <c r="F59" s="2" t="s">
        <v>36</v>
      </c>
      <c r="G59" s="2" t="n">
        <v>4600004259</v>
      </c>
      <c r="H59" s="2" t="s">
        <v>24</v>
      </c>
      <c r="I59" s="3" t="n">
        <v>96.57</v>
      </c>
      <c r="J59" s="2" t="s">
        <v>98</v>
      </c>
      <c r="K59" s="2" t="n">
        <v>11</v>
      </c>
      <c r="L59" s="4" t="n">
        <v>46162</v>
      </c>
      <c r="M59" s="2" t="s">
        <v>31</v>
      </c>
      <c r="N59" s="5" t="n">
        <v>-23.55246717</v>
      </c>
      <c r="O59" s="5" t="n">
        <v>-46.61582758</v>
      </c>
      <c r="P59" s="2" t="str">
        <f aca="false">IF(AND(ISNUMBER(N59),ISNUMBER(O59)),SUBSTITUTE(N59,",",".")&amp;","&amp;SUBSTITUTE(O59,",","."),"Sem coordenadas")</f>
        <v>-23.55246717,-46.61582758</v>
      </c>
      <c r="Q59" s="6" t="str">
        <f aca="false">IF(ISNUMBER(N59),HYPERLINK("https://www.google.com/maps/search/?api=1&amp;query="&amp;P59,"Abrir no Maps"),"Sem coordenadas")</f>
        <v>Abrir no Maps</v>
      </c>
      <c r="R59" s="6" t="str">
        <f aca="false">IF(ISNUMBER(N59),HYPERLINK("https://www.google.com/maps/dir/?api=1&amp;destination="&amp;P59,"Traçar rota"),"Sem coordenadas")</f>
        <v>Traçar rota</v>
      </c>
      <c r="S59" s="6" t="str">
        <f aca="false">IF(ISNUMBER(N59),HYPERLINK("https://www.google.com/maps/@?api=1&amp;map_action=pano&amp;viewpoint="&amp;P59,"Street View"),"Sem coordenadas")</f>
        <v>Street View</v>
      </c>
      <c r="T59" s="6" t="str">
        <f aca="false">HYPERLINK("https://www.google.com/maps/d/edit?mid=1FhSs4z4XyVo8q6ywBexvTMaPd01oMt0&amp;usp=sharing","Abrir My Maps")</f>
        <v>Abrir My Maps</v>
      </c>
    </row>
    <row r="60" customFormat="false" ht="15" hidden="false" customHeight="false" outlineLevel="0" collapsed="false">
      <c r="A60" s="2" t="s">
        <v>99</v>
      </c>
      <c r="B60" s="2" t="n">
        <v>3635672</v>
      </c>
      <c r="C60" s="2" t="s">
        <v>21</v>
      </c>
      <c r="D60" s="2" t="s">
        <v>22</v>
      </c>
      <c r="E60" s="2" t="s">
        <v>22</v>
      </c>
      <c r="F60" s="2" t="s">
        <v>23</v>
      </c>
      <c r="G60" s="2" t="n">
        <v>4610003890</v>
      </c>
      <c r="H60" s="2" t="s">
        <v>55</v>
      </c>
      <c r="I60" s="3" t="n">
        <v>296.39</v>
      </c>
      <c r="J60" s="2" t="s">
        <v>100</v>
      </c>
      <c r="K60" s="2" t="n">
        <v>9</v>
      </c>
      <c r="L60" s="4" t="n">
        <v>46294</v>
      </c>
      <c r="M60" s="2" t="s">
        <v>31</v>
      </c>
      <c r="N60" s="5" t="n">
        <v>-23.56541714</v>
      </c>
      <c r="O60" s="5" t="n">
        <v>-46.42388561</v>
      </c>
      <c r="P60" s="2" t="str">
        <f aca="false">IF(AND(ISNUMBER(N60),ISNUMBER(O60)),SUBSTITUTE(N60,",",".")&amp;","&amp;SUBSTITUTE(O60,",","."),"Sem coordenadas")</f>
        <v>-23.56541714,-46.42388561</v>
      </c>
      <c r="Q60" s="6" t="str">
        <f aca="false">IF(ISNUMBER(N60),HYPERLINK("https://www.google.com/maps/search/?api=1&amp;query="&amp;P60,"Abrir no Maps"),"Sem coordenadas")</f>
        <v>Abrir no Maps</v>
      </c>
      <c r="R60" s="6" t="str">
        <f aca="false">IF(ISNUMBER(N60),HYPERLINK("https://www.google.com/maps/dir/?api=1&amp;destination="&amp;P60,"Traçar rota"),"Sem coordenadas")</f>
        <v>Traçar rota</v>
      </c>
      <c r="S60" s="6" t="str">
        <f aca="false">IF(ISNUMBER(N60),HYPERLINK("https://www.google.com/maps/@?api=1&amp;map_action=pano&amp;viewpoint="&amp;P60,"Street View"),"Sem coordenadas")</f>
        <v>Street View</v>
      </c>
      <c r="T60" s="6" t="str">
        <f aca="false">HYPERLINK("https://www.google.com/maps/d/edit?mid=1FhSs4z4XyVo8q6ywBexvTMaPd01oMt0&amp;usp=sharing","Abrir My Maps")</f>
        <v>Abrir My Maps</v>
      </c>
    </row>
    <row r="61" customFormat="false" ht="15" hidden="false" customHeight="false" outlineLevel="0" collapsed="false">
      <c r="A61" s="2" t="s">
        <v>101</v>
      </c>
      <c r="B61" s="2" t="n">
        <v>3635677</v>
      </c>
      <c r="C61" s="2" t="s">
        <v>21</v>
      </c>
      <c r="D61" s="2" t="s">
        <v>22</v>
      </c>
      <c r="E61" s="2" t="s">
        <v>22</v>
      </c>
      <c r="F61" s="2" t="s">
        <v>23</v>
      </c>
      <c r="G61" s="2" t="n">
        <v>4610003890</v>
      </c>
      <c r="H61" s="2" t="s">
        <v>55</v>
      </c>
      <c r="I61" s="3" t="n">
        <v>147.8</v>
      </c>
      <c r="J61" s="2" t="s">
        <v>45</v>
      </c>
      <c r="K61" s="2" t="n">
        <v>9</v>
      </c>
      <c r="L61" s="4" t="n">
        <v>46294</v>
      </c>
      <c r="M61" s="2" t="s">
        <v>31</v>
      </c>
      <c r="N61" s="5" t="n">
        <v>-23.56670988</v>
      </c>
      <c r="O61" s="5" t="n">
        <v>-46.41967255</v>
      </c>
      <c r="P61" s="2" t="str">
        <f aca="false">IF(AND(ISNUMBER(N61),ISNUMBER(O61)),SUBSTITUTE(N61,",",".")&amp;","&amp;SUBSTITUTE(O61,",","."),"Sem coordenadas")</f>
        <v>-23.56670988,-46.41967255</v>
      </c>
      <c r="Q61" s="6" t="str">
        <f aca="false">IF(ISNUMBER(N61),HYPERLINK("https://www.google.com/maps/search/?api=1&amp;query="&amp;P61,"Abrir no Maps"),"Sem coordenadas")</f>
        <v>Abrir no Maps</v>
      </c>
      <c r="R61" s="6" t="str">
        <f aca="false">IF(ISNUMBER(N61),HYPERLINK("https://www.google.com/maps/dir/?api=1&amp;destination="&amp;P61,"Traçar rota"),"Sem coordenadas")</f>
        <v>Traçar rota</v>
      </c>
      <c r="S61" s="6" t="str">
        <f aca="false">IF(ISNUMBER(N61),HYPERLINK("https://www.google.com/maps/@?api=1&amp;map_action=pano&amp;viewpoint="&amp;P61,"Street View"),"Sem coordenadas")</f>
        <v>Street View</v>
      </c>
      <c r="T61" s="6" t="str">
        <f aca="false">HYPERLINK("https://www.google.com/maps/d/edit?mid=1FhSs4z4XyVo8q6ywBexvTMaPd01oMt0&amp;usp=sharing","Abrir My Maps")</f>
        <v>Abrir My Maps</v>
      </c>
    </row>
    <row r="62" customFormat="false" ht="15" hidden="false" customHeight="false" outlineLevel="0" collapsed="false">
      <c r="A62" s="2" t="s">
        <v>102</v>
      </c>
      <c r="B62" s="2" t="n">
        <v>3635683</v>
      </c>
      <c r="C62" s="2" t="s">
        <v>21</v>
      </c>
      <c r="D62" s="2" t="s">
        <v>22</v>
      </c>
      <c r="E62" s="2" t="s">
        <v>22</v>
      </c>
      <c r="F62" s="2" t="s">
        <v>23</v>
      </c>
      <c r="G62" s="2" t="n">
        <v>4610003890</v>
      </c>
      <c r="H62" s="2" t="s">
        <v>55</v>
      </c>
      <c r="I62" s="3" t="n">
        <v>64.37</v>
      </c>
      <c r="J62" s="2" t="s">
        <v>45</v>
      </c>
      <c r="K62" s="2" t="n">
        <v>9</v>
      </c>
      <c r="L62" s="4" t="n">
        <v>46287</v>
      </c>
      <c r="M62" s="2" t="s">
        <v>31</v>
      </c>
      <c r="N62" s="5" t="n">
        <v>-23.57502303</v>
      </c>
      <c r="O62" s="5" t="n">
        <v>-46.41608678</v>
      </c>
      <c r="P62" s="2" t="str">
        <f aca="false">IF(AND(ISNUMBER(N62),ISNUMBER(O62)),SUBSTITUTE(N62,",",".")&amp;","&amp;SUBSTITUTE(O62,",","."),"Sem coordenadas")</f>
        <v>-23.57502303,-46.41608678</v>
      </c>
      <c r="Q62" s="6" t="str">
        <f aca="false">IF(ISNUMBER(N62),HYPERLINK("https://www.google.com/maps/search/?api=1&amp;query="&amp;P62,"Abrir no Maps"),"Sem coordenadas")</f>
        <v>Abrir no Maps</v>
      </c>
      <c r="R62" s="6" t="str">
        <f aca="false">IF(ISNUMBER(N62),HYPERLINK("https://www.google.com/maps/dir/?api=1&amp;destination="&amp;P62,"Traçar rota"),"Sem coordenadas")</f>
        <v>Traçar rota</v>
      </c>
      <c r="S62" s="6" t="str">
        <f aca="false">IF(ISNUMBER(N62),HYPERLINK("https://www.google.com/maps/@?api=1&amp;map_action=pano&amp;viewpoint="&amp;P62,"Street View"),"Sem coordenadas")</f>
        <v>Street View</v>
      </c>
      <c r="T62" s="6" t="str">
        <f aca="false">HYPERLINK("https://www.google.com/maps/d/edit?mid=1FhSs4z4XyVo8q6ywBexvTMaPd01oMt0&amp;usp=sharing","Abrir My Maps")</f>
        <v>Abrir My Maps</v>
      </c>
    </row>
    <row r="63" customFormat="false" ht="15" hidden="false" customHeight="false" outlineLevel="0" collapsed="false">
      <c r="A63" s="2" t="s">
        <v>103</v>
      </c>
      <c r="B63" s="2" t="n">
        <v>3635876</v>
      </c>
      <c r="C63" s="2" t="s">
        <v>21</v>
      </c>
      <c r="D63" s="2" t="s">
        <v>22</v>
      </c>
      <c r="E63" s="2" t="s">
        <v>22</v>
      </c>
      <c r="F63" s="2" t="s">
        <v>23</v>
      </c>
      <c r="G63" s="2" t="n">
        <v>4610003779</v>
      </c>
      <c r="H63" s="2" t="s">
        <v>24</v>
      </c>
      <c r="I63" s="3" t="n">
        <v>236.84</v>
      </c>
      <c r="J63" s="2" t="s">
        <v>25</v>
      </c>
      <c r="K63" s="2" t="n">
        <v>11</v>
      </c>
      <c r="L63" s="4" t="n">
        <v>46273</v>
      </c>
      <c r="M63" s="2" t="s">
        <v>31</v>
      </c>
      <c r="N63" s="5" t="n">
        <v>-23.62436454</v>
      </c>
      <c r="O63" s="5" t="n">
        <v>-46.50377065</v>
      </c>
      <c r="P63" s="2" t="str">
        <f aca="false">IF(AND(ISNUMBER(N63),ISNUMBER(O63)),SUBSTITUTE(N63,",",".")&amp;","&amp;SUBSTITUTE(O63,",","."),"Sem coordenadas")</f>
        <v>-23.62436454,-46.50377065</v>
      </c>
      <c r="Q63" s="6" t="str">
        <f aca="false">IF(ISNUMBER(N63),HYPERLINK("https://www.google.com/maps/search/?api=1&amp;query="&amp;P63,"Abrir no Maps"),"Sem coordenadas")</f>
        <v>Abrir no Maps</v>
      </c>
      <c r="R63" s="6" t="str">
        <f aca="false">IF(ISNUMBER(N63),HYPERLINK("https://www.google.com/maps/dir/?api=1&amp;destination="&amp;P63,"Traçar rota"),"Sem coordenadas")</f>
        <v>Traçar rota</v>
      </c>
      <c r="S63" s="6" t="str">
        <f aca="false">IF(ISNUMBER(N63),HYPERLINK("https://www.google.com/maps/@?api=1&amp;map_action=pano&amp;viewpoint="&amp;P63,"Street View"),"Sem coordenadas")</f>
        <v>Street View</v>
      </c>
      <c r="T63" s="6" t="str">
        <f aca="false">HYPERLINK("https://www.google.com/maps/d/edit?mid=1FhSs4z4XyVo8q6ywBexvTMaPd01oMt0&amp;usp=sharing","Abrir My Maps")</f>
        <v>Abrir My Maps</v>
      </c>
    </row>
    <row r="64" customFormat="false" ht="15" hidden="false" customHeight="false" outlineLevel="0" collapsed="false">
      <c r="A64" s="2" t="s">
        <v>104</v>
      </c>
      <c r="B64" s="2" t="n">
        <v>3635946</v>
      </c>
      <c r="C64" s="2" t="s">
        <v>21</v>
      </c>
      <c r="D64" s="2" t="s">
        <v>22</v>
      </c>
      <c r="E64" s="2" t="s">
        <v>22</v>
      </c>
      <c r="F64" s="2" t="s">
        <v>23</v>
      </c>
      <c r="G64" s="2" t="n">
        <v>4610003779</v>
      </c>
      <c r="H64" s="2" t="s">
        <v>24</v>
      </c>
      <c r="I64" s="3" t="n">
        <v>559.31</v>
      </c>
      <c r="J64" s="2" t="s">
        <v>25</v>
      </c>
      <c r="K64" s="2" t="n">
        <v>11</v>
      </c>
      <c r="L64" s="4" t="n">
        <v>46295</v>
      </c>
      <c r="M64" s="2" t="s">
        <v>31</v>
      </c>
      <c r="N64" s="5" t="n">
        <v>-23.62078337</v>
      </c>
      <c r="O64" s="5" t="n">
        <v>-46.4896246</v>
      </c>
      <c r="P64" s="2" t="str">
        <f aca="false">IF(AND(ISNUMBER(N64),ISNUMBER(O64)),SUBSTITUTE(N64,",",".")&amp;","&amp;SUBSTITUTE(O64,",","."),"Sem coordenadas")</f>
        <v>-23.62078337,-46.4896246</v>
      </c>
      <c r="Q64" s="6" t="str">
        <f aca="false">IF(ISNUMBER(N64),HYPERLINK("https://www.google.com/maps/search/?api=1&amp;query="&amp;P64,"Abrir no Maps"),"Sem coordenadas")</f>
        <v>Abrir no Maps</v>
      </c>
      <c r="R64" s="6" t="str">
        <f aca="false">IF(ISNUMBER(N64),HYPERLINK("https://www.google.com/maps/dir/?api=1&amp;destination="&amp;P64,"Traçar rota"),"Sem coordenadas")</f>
        <v>Traçar rota</v>
      </c>
      <c r="S64" s="6" t="str">
        <f aca="false">IF(ISNUMBER(N64),HYPERLINK("https://www.google.com/maps/@?api=1&amp;map_action=pano&amp;viewpoint="&amp;P64,"Street View"),"Sem coordenadas")</f>
        <v>Street View</v>
      </c>
      <c r="T64" s="6" t="str">
        <f aca="false">HYPERLINK("https://www.google.com/maps/d/edit?mid=1FhSs4z4XyVo8q6ywBexvTMaPd01oMt0&amp;usp=sharing","Abrir My Maps")</f>
        <v>Abrir My Maps</v>
      </c>
    </row>
    <row r="65" customFormat="false" ht="15" hidden="false" customHeight="false" outlineLevel="0" collapsed="false">
      <c r="A65" s="2" t="s">
        <v>105</v>
      </c>
      <c r="B65" s="2" t="n">
        <v>3632481</v>
      </c>
      <c r="C65" s="2" t="s">
        <v>21</v>
      </c>
      <c r="D65" s="2" t="s">
        <v>22</v>
      </c>
      <c r="E65" s="2" t="s">
        <v>22</v>
      </c>
      <c r="F65" s="2" t="s">
        <v>28</v>
      </c>
      <c r="G65" s="2" t="n">
        <v>4600004059</v>
      </c>
      <c r="H65" s="2" t="s">
        <v>29</v>
      </c>
      <c r="I65" s="3" t="n">
        <v>559.95</v>
      </c>
      <c r="J65" s="2" t="s">
        <v>30</v>
      </c>
      <c r="K65" s="2" t="n">
        <v>9</v>
      </c>
      <c r="L65" s="4" t="n">
        <v>46150</v>
      </c>
      <c r="M65" s="2" t="s">
        <v>31</v>
      </c>
      <c r="N65" s="5" t="n">
        <v>-23.58502445</v>
      </c>
      <c r="O65" s="5" t="n">
        <v>-46.41265681</v>
      </c>
      <c r="P65" s="2" t="str">
        <f aca="false">IF(AND(ISNUMBER(N65),ISNUMBER(O65)),SUBSTITUTE(N65,",",".")&amp;","&amp;SUBSTITUTE(O65,",","."),"Sem coordenadas")</f>
        <v>-23.58502445,-46.41265681</v>
      </c>
      <c r="Q65" s="6" t="str">
        <f aca="false">IF(ISNUMBER(N65),HYPERLINK("https://www.google.com/maps/search/?api=1&amp;query="&amp;P65,"Abrir no Maps"),"Sem coordenadas")</f>
        <v>Abrir no Maps</v>
      </c>
      <c r="R65" s="6" t="str">
        <f aca="false">IF(ISNUMBER(N65),HYPERLINK("https://www.google.com/maps/dir/?api=1&amp;destination="&amp;P65,"Traçar rota"),"Sem coordenadas")</f>
        <v>Traçar rota</v>
      </c>
      <c r="S65" s="6" t="str">
        <f aca="false">IF(ISNUMBER(N65),HYPERLINK("https://www.google.com/maps/@?api=1&amp;map_action=pano&amp;viewpoint="&amp;P65,"Street View"),"Sem coordenadas")</f>
        <v>Street View</v>
      </c>
      <c r="T65" s="6" t="str">
        <f aca="false">HYPERLINK("https://www.google.com/maps/d/edit?mid=1FhSs4z4XyVo8q6ywBexvTMaPd01oMt0&amp;usp=sharing","Abrir My Maps")</f>
        <v>Abrir My Maps</v>
      </c>
    </row>
    <row r="66" customFormat="false" ht="15" hidden="false" customHeight="false" outlineLevel="0" collapsed="false">
      <c r="A66" s="2" t="s">
        <v>106</v>
      </c>
      <c r="B66" s="2" t="n">
        <v>3632492</v>
      </c>
      <c r="C66" s="2" t="s">
        <v>21</v>
      </c>
      <c r="D66" s="2" t="s">
        <v>22</v>
      </c>
      <c r="E66" s="2" t="s">
        <v>22</v>
      </c>
      <c r="F66" s="2" t="s">
        <v>107</v>
      </c>
      <c r="G66" s="2" t="n">
        <v>4600004059</v>
      </c>
      <c r="H66" s="2" t="s">
        <v>29</v>
      </c>
      <c r="I66" s="3" t="n">
        <v>101.08</v>
      </c>
      <c r="J66" s="2" t="s">
        <v>30</v>
      </c>
      <c r="K66" s="2" t="n">
        <v>9</v>
      </c>
      <c r="L66" s="4" t="n">
        <v>46157</v>
      </c>
      <c r="M66" s="2" t="s">
        <v>31</v>
      </c>
      <c r="N66" s="5" t="n">
        <v>-23.59140625</v>
      </c>
      <c r="O66" s="5" t="n">
        <v>-46.42377922</v>
      </c>
      <c r="P66" s="2" t="str">
        <f aca="false">IF(AND(ISNUMBER(N66),ISNUMBER(O66)),SUBSTITUTE(N66,",",".")&amp;","&amp;SUBSTITUTE(O66,",","."),"Sem coordenadas")</f>
        <v>-23.59140625,-46.42377922</v>
      </c>
      <c r="Q66" s="6" t="str">
        <f aca="false">IF(ISNUMBER(N66),HYPERLINK("https://www.google.com/maps/search/?api=1&amp;query="&amp;P66,"Abrir no Maps"),"Sem coordenadas")</f>
        <v>Abrir no Maps</v>
      </c>
      <c r="R66" s="6" t="str">
        <f aca="false">IF(ISNUMBER(N66),HYPERLINK("https://www.google.com/maps/dir/?api=1&amp;destination="&amp;P66,"Traçar rota"),"Sem coordenadas")</f>
        <v>Traçar rota</v>
      </c>
      <c r="S66" s="6" t="str">
        <f aca="false">IF(ISNUMBER(N66),HYPERLINK("https://www.google.com/maps/@?api=1&amp;map_action=pano&amp;viewpoint="&amp;P66,"Street View"),"Sem coordenadas")</f>
        <v>Street View</v>
      </c>
      <c r="T66" s="6" t="str">
        <f aca="false">HYPERLINK("https://www.google.com/maps/d/edit?mid=1FhSs4z4XyVo8q6ywBexvTMaPd01oMt0&amp;usp=sharing","Abrir My Maps")</f>
        <v>Abrir My Maps</v>
      </c>
    </row>
    <row r="67" customFormat="false" ht="15" hidden="false" customHeight="false" outlineLevel="0" collapsed="false">
      <c r="A67" s="2" t="s">
        <v>108</v>
      </c>
      <c r="B67" s="2" t="n">
        <v>3632492</v>
      </c>
      <c r="C67" s="2" t="s">
        <v>21</v>
      </c>
      <c r="D67" s="2" t="s">
        <v>22</v>
      </c>
      <c r="E67" s="2" t="s">
        <v>22</v>
      </c>
      <c r="F67" s="2" t="s">
        <v>109</v>
      </c>
      <c r="G67" s="2" t="n">
        <v>4600004059</v>
      </c>
      <c r="H67" s="2" t="s">
        <v>29</v>
      </c>
      <c r="I67" s="3" t="n">
        <v>174.95</v>
      </c>
      <c r="J67" s="2" t="s">
        <v>30</v>
      </c>
      <c r="K67" s="2" t="n">
        <v>9</v>
      </c>
      <c r="L67" s="4" t="n">
        <v>46157</v>
      </c>
      <c r="M67" s="2" t="s">
        <v>31</v>
      </c>
      <c r="N67" s="5" t="n">
        <v>-23.59140625</v>
      </c>
      <c r="O67" s="5" t="n">
        <v>-46.42377922</v>
      </c>
      <c r="P67" s="2" t="str">
        <f aca="false">IF(AND(ISNUMBER(N67),ISNUMBER(O67)),SUBSTITUTE(N67,",",".")&amp;","&amp;SUBSTITUTE(O67,",","."),"Sem coordenadas")</f>
        <v>-23.59140625,-46.42377922</v>
      </c>
      <c r="Q67" s="6" t="str">
        <f aca="false">IF(ISNUMBER(N67),HYPERLINK("https://www.google.com/maps/search/?api=1&amp;query="&amp;P67,"Abrir no Maps"),"Sem coordenadas")</f>
        <v>Abrir no Maps</v>
      </c>
      <c r="R67" s="6" t="str">
        <f aca="false">IF(ISNUMBER(N67),HYPERLINK("https://www.google.com/maps/dir/?api=1&amp;destination="&amp;P67,"Traçar rota"),"Sem coordenadas")</f>
        <v>Traçar rota</v>
      </c>
      <c r="S67" s="6" t="str">
        <f aca="false">IF(ISNUMBER(N67),HYPERLINK("https://www.google.com/maps/@?api=1&amp;map_action=pano&amp;viewpoint="&amp;P67,"Street View"),"Sem coordenadas")</f>
        <v>Street View</v>
      </c>
      <c r="T67" s="6" t="str">
        <f aca="false">HYPERLINK("https://www.google.com/maps/d/edit?mid=1FhSs4z4XyVo8q6ywBexvTMaPd01oMt0&amp;usp=sharing","Abrir My Maps")</f>
        <v>Abrir My Maps</v>
      </c>
    </row>
    <row r="68" customFormat="false" ht="15" hidden="false" customHeight="false" outlineLevel="0" collapsed="false">
      <c r="A68" s="2" t="s">
        <v>110</v>
      </c>
      <c r="B68" s="2" t="n">
        <v>3632492</v>
      </c>
      <c r="C68" s="2" t="s">
        <v>21</v>
      </c>
      <c r="D68" s="2" t="s">
        <v>22</v>
      </c>
      <c r="E68" s="2" t="s">
        <v>22</v>
      </c>
      <c r="F68" s="2" t="s">
        <v>28</v>
      </c>
      <c r="G68" s="2" t="n">
        <v>4600004059</v>
      </c>
      <c r="H68" s="2" t="s">
        <v>29</v>
      </c>
      <c r="I68" s="3" t="n">
        <v>146.3</v>
      </c>
      <c r="J68" s="2" t="s">
        <v>30</v>
      </c>
      <c r="K68" s="2" t="n">
        <v>9</v>
      </c>
      <c r="L68" s="4" t="n">
        <v>46148</v>
      </c>
      <c r="M68" s="2" t="s">
        <v>31</v>
      </c>
      <c r="N68" s="5" t="n">
        <v>-23.59140625</v>
      </c>
      <c r="O68" s="5" t="n">
        <v>-46.42377922</v>
      </c>
      <c r="P68" s="2" t="str">
        <f aca="false">IF(AND(ISNUMBER(N68),ISNUMBER(O68)),SUBSTITUTE(N68,",",".")&amp;","&amp;SUBSTITUTE(O68,",","."),"Sem coordenadas")</f>
        <v>-23.59140625,-46.42377922</v>
      </c>
      <c r="Q68" s="6" t="str">
        <f aca="false">IF(ISNUMBER(N68),HYPERLINK("https://www.google.com/maps/search/?api=1&amp;query="&amp;P68,"Abrir no Maps"),"Sem coordenadas")</f>
        <v>Abrir no Maps</v>
      </c>
      <c r="R68" s="6" t="str">
        <f aca="false">IF(ISNUMBER(N68),HYPERLINK("https://www.google.com/maps/dir/?api=1&amp;destination="&amp;P68,"Traçar rota"),"Sem coordenadas")</f>
        <v>Traçar rota</v>
      </c>
      <c r="S68" s="6" t="str">
        <f aca="false">IF(ISNUMBER(N68),HYPERLINK("https://www.google.com/maps/@?api=1&amp;map_action=pano&amp;viewpoint="&amp;P68,"Street View"),"Sem coordenadas")</f>
        <v>Street View</v>
      </c>
      <c r="T68" s="6" t="str">
        <f aca="false">HYPERLINK("https://www.google.com/maps/d/edit?mid=1FhSs4z4XyVo8q6ywBexvTMaPd01oMt0&amp;usp=sharing","Abrir My Maps")</f>
        <v>Abrir My Maps</v>
      </c>
    </row>
    <row r="69" customFormat="false" ht="15" hidden="false" customHeight="false" outlineLevel="0" collapsed="false">
      <c r="A69" s="2" t="s">
        <v>111</v>
      </c>
      <c r="B69" s="2" t="n">
        <v>3632492</v>
      </c>
      <c r="C69" s="2" t="s">
        <v>21</v>
      </c>
      <c r="D69" s="2" t="s">
        <v>22</v>
      </c>
      <c r="E69" s="2" t="s">
        <v>22</v>
      </c>
      <c r="F69" s="2" t="s">
        <v>28</v>
      </c>
      <c r="G69" s="2" t="n">
        <v>4600004059</v>
      </c>
      <c r="H69" s="2" t="s">
        <v>29</v>
      </c>
      <c r="I69" s="3" t="n">
        <v>233.29</v>
      </c>
      <c r="J69" s="2" t="s">
        <v>30</v>
      </c>
      <c r="K69" s="2" t="n">
        <v>9</v>
      </c>
      <c r="L69" s="4" t="n">
        <v>46148</v>
      </c>
      <c r="M69" s="2" t="s">
        <v>31</v>
      </c>
      <c r="N69" s="5" t="n">
        <v>-23.59140625</v>
      </c>
      <c r="O69" s="5" t="n">
        <v>-46.42377922</v>
      </c>
      <c r="P69" s="2" t="str">
        <f aca="false">IF(AND(ISNUMBER(N69),ISNUMBER(O69)),SUBSTITUTE(N69,",",".")&amp;","&amp;SUBSTITUTE(O69,",","."),"Sem coordenadas")</f>
        <v>-23.59140625,-46.42377922</v>
      </c>
      <c r="Q69" s="6" t="str">
        <f aca="false">IF(ISNUMBER(N69),HYPERLINK("https://www.google.com/maps/search/?api=1&amp;query="&amp;P69,"Abrir no Maps"),"Sem coordenadas")</f>
        <v>Abrir no Maps</v>
      </c>
      <c r="R69" s="6" t="str">
        <f aca="false">IF(ISNUMBER(N69),HYPERLINK("https://www.google.com/maps/dir/?api=1&amp;destination="&amp;P69,"Traçar rota"),"Sem coordenadas")</f>
        <v>Traçar rota</v>
      </c>
      <c r="S69" s="6" t="str">
        <f aca="false">IF(ISNUMBER(N69),HYPERLINK("https://www.google.com/maps/@?api=1&amp;map_action=pano&amp;viewpoint="&amp;P69,"Street View"),"Sem coordenadas")</f>
        <v>Street View</v>
      </c>
      <c r="T69" s="6" t="str">
        <f aca="false">HYPERLINK("https://www.google.com/maps/d/edit?mid=1FhSs4z4XyVo8q6ywBexvTMaPd01oMt0&amp;usp=sharing","Abrir My Maps")</f>
        <v>Abrir My Maps</v>
      </c>
    </row>
    <row r="70" customFormat="false" ht="15" hidden="false" customHeight="false" outlineLevel="0" collapsed="false">
      <c r="A70" s="2" t="s">
        <v>112</v>
      </c>
      <c r="B70" s="2" t="n">
        <v>3632492</v>
      </c>
      <c r="C70" s="2" t="s">
        <v>21</v>
      </c>
      <c r="D70" s="2" t="s">
        <v>22</v>
      </c>
      <c r="E70" s="2" t="s">
        <v>22</v>
      </c>
      <c r="F70" s="2" t="s">
        <v>28</v>
      </c>
      <c r="G70" s="2" t="n">
        <v>4600004059</v>
      </c>
      <c r="H70" s="2" t="s">
        <v>29</v>
      </c>
      <c r="I70" s="3" t="n">
        <v>201.96</v>
      </c>
      <c r="J70" s="2" t="s">
        <v>30</v>
      </c>
      <c r="K70" s="2" t="n">
        <v>9</v>
      </c>
      <c r="L70" s="4" t="n">
        <v>46148</v>
      </c>
      <c r="M70" s="2" t="s">
        <v>31</v>
      </c>
      <c r="N70" s="5" t="n">
        <v>-23.59140625</v>
      </c>
      <c r="O70" s="5" t="n">
        <v>-46.42377922</v>
      </c>
      <c r="P70" s="2" t="str">
        <f aca="false">IF(AND(ISNUMBER(N70),ISNUMBER(O70)),SUBSTITUTE(N70,",",".")&amp;","&amp;SUBSTITUTE(O70,",","."),"Sem coordenadas")</f>
        <v>-23.59140625,-46.42377922</v>
      </c>
      <c r="Q70" s="6" t="str">
        <f aca="false">IF(ISNUMBER(N70),HYPERLINK("https://www.google.com/maps/search/?api=1&amp;query="&amp;P70,"Abrir no Maps"),"Sem coordenadas")</f>
        <v>Abrir no Maps</v>
      </c>
      <c r="R70" s="6" t="str">
        <f aca="false">IF(ISNUMBER(N70),HYPERLINK("https://www.google.com/maps/dir/?api=1&amp;destination="&amp;P70,"Traçar rota"),"Sem coordenadas")</f>
        <v>Traçar rota</v>
      </c>
      <c r="S70" s="6" t="str">
        <f aca="false">IF(ISNUMBER(N70),HYPERLINK("https://www.google.com/maps/@?api=1&amp;map_action=pano&amp;viewpoint="&amp;P70,"Street View"),"Sem coordenadas")</f>
        <v>Street View</v>
      </c>
      <c r="T70" s="6" t="str">
        <f aca="false">HYPERLINK("https://www.google.com/maps/d/edit?mid=1FhSs4z4XyVo8q6ywBexvTMaPd01oMt0&amp;usp=sharing","Abrir My Maps")</f>
        <v>Abrir My Maps</v>
      </c>
    </row>
    <row r="71" customFormat="false" ht="15" hidden="false" customHeight="false" outlineLevel="0" collapsed="false">
      <c r="A71" s="2" t="s">
        <v>113</v>
      </c>
      <c r="B71" s="2" t="n">
        <v>3625757</v>
      </c>
      <c r="C71" s="2" t="s">
        <v>21</v>
      </c>
      <c r="D71" s="2" t="s">
        <v>22</v>
      </c>
      <c r="E71" s="2" t="s">
        <v>22</v>
      </c>
      <c r="F71" s="2" t="s">
        <v>36</v>
      </c>
      <c r="G71" s="2" t="n">
        <v>4600004059</v>
      </c>
      <c r="H71" s="2" t="s">
        <v>29</v>
      </c>
      <c r="I71" s="3" t="n">
        <v>195.03</v>
      </c>
      <c r="J71" s="2" t="s">
        <v>30</v>
      </c>
      <c r="K71" s="2" t="n">
        <v>9</v>
      </c>
      <c r="L71" s="4" t="n">
        <v>46083</v>
      </c>
      <c r="M71" s="2" t="s">
        <v>31</v>
      </c>
      <c r="N71" s="5" t="n">
        <v>-23.59445801</v>
      </c>
      <c r="O71" s="5" t="n">
        <v>-46.41924494</v>
      </c>
      <c r="P71" s="2" t="str">
        <f aca="false">IF(AND(ISNUMBER(N71),ISNUMBER(O71)),SUBSTITUTE(N71,",",".")&amp;","&amp;SUBSTITUTE(O71,",","."),"Sem coordenadas")</f>
        <v>-23.59445801,-46.41924494</v>
      </c>
      <c r="Q71" s="6" t="str">
        <f aca="false">IF(ISNUMBER(N71),HYPERLINK("https://www.google.com/maps/search/?api=1&amp;query="&amp;P71,"Abrir no Maps"),"Sem coordenadas")</f>
        <v>Abrir no Maps</v>
      </c>
      <c r="R71" s="6" t="str">
        <f aca="false">IF(ISNUMBER(N71),HYPERLINK("https://www.google.com/maps/dir/?api=1&amp;destination="&amp;P71,"Traçar rota"),"Sem coordenadas")</f>
        <v>Traçar rota</v>
      </c>
      <c r="S71" s="6" t="str">
        <f aca="false">IF(ISNUMBER(N71),HYPERLINK("https://www.google.com/maps/@?api=1&amp;map_action=pano&amp;viewpoint="&amp;P71,"Street View"),"Sem coordenadas")</f>
        <v>Street View</v>
      </c>
      <c r="T71" s="6" t="str">
        <f aca="false">HYPERLINK("https://www.google.com/maps/d/edit?mid=1FhSs4z4XyVo8q6ywBexvTMaPd01oMt0&amp;usp=sharing","Abrir My Maps")</f>
        <v>Abrir My Maps</v>
      </c>
    </row>
    <row r="72" customFormat="false" ht="15" hidden="false" customHeight="false" outlineLevel="0" collapsed="false">
      <c r="A72" s="2" t="s">
        <v>114</v>
      </c>
      <c r="B72" s="2" t="n">
        <v>3638286</v>
      </c>
      <c r="C72" s="2" t="s">
        <v>21</v>
      </c>
      <c r="D72" s="2" t="s">
        <v>22</v>
      </c>
      <c r="E72" s="2" t="s">
        <v>22</v>
      </c>
      <c r="F72" s="2" t="s">
        <v>23</v>
      </c>
      <c r="G72" s="2" t="n">
        <v>4610003890</v>
      </c>
      <c r="H72" s="2" t="s">
        <v>55</v>
      </c>
      <c r="I72" s="3" t="n">
        <v>334.57</v>
      </c>
      <c r="J72" s="2" t="s">
        <v>58</v>
      </c>
      <c r="K72" s="2" t="n">
        <v>9</v>
      </c>
      <c r="L72" s="4" t="n">
        <v>46288</v>
      </c>
      <c r="M72" s="2" t="s">
        <v>31</v>
      </c>
      <c r="N72" s="5" t="n">
        <v>-23.52631587</v>
      </c>
      <c r="O72" s="5" t="n">
        <v>-46.46600995</v>
      </c>
      <c r="P72" s="2" t="str">
        <f aca="false">IF(AND(ISNUMBER(N72),ISNUMBER(O72)),SUBSTITUTE(N72,",",".")&amp;","&amp;SUBSTITUTE(O72,",","."),"Sem coordenadas")</f>
        <v>-23.52631587,-46.46600995</v>
      </c>
      <c r="Q72" s="6" t="str">
        <f aca="false">IF(ISNUMBER(N72),HYPERLINK("https://www.google.com/maps/search/?api=1&amp;query="&amp;P72,"Abrir no Maps"),"Sem coordenadas")</f>
        <v>Abrir no Maps</v>
      </c>
      <c r="R72" s="6" t="str">
        <f aca="false">IF(ISNUMBER(N72),HYPERLINK("https://www.google.com/maps/dir/?api=1&amp;destination="&amp;P72,"Traçar rota"),"Sem coordenadas")</f>
        <v>Traçar rota</v>
      </c>
      <c r="S72" s="6" t="str">
        <f aca="false">IF(ISNUMBER(N72),HYPERLINK("https://www.google.com/maps/@?api=1&amp;map_action=pano&amp;viewpoint="&amp;P72,"Street View"),"Sem coordenadas")</f>
        <v>Street View</v>
      </c>
      <c r="T72" s="6" t="str">
        <f aca="false">HYPERLINK("https://www.google.com/maps/d/edit?mid=1FhSs4z4XyVo8q6ywBexvTMaPd01oMt0&amp;usp=sharing","Abrir My Maps")</f>
        <v>Abrir My Maps</v>
      </c>
    </row>
    <row r="73" customFormat="false" ht="15" hidden="false" customHeight="false" outlineLevel="0" collapsed="false">
      <c r="A73" s="2" t="s">
        <v>115</v>
      </c>
      <c r="B73" s="2" t="n">
        <v>3638287</v>
      </c>
      <c r="C73" s="2" t="s">
        <v>21</v>
      </c>
      <c r="D73" s="2" t="s">
        <v>22</v>
      </c>
      <c r="E73" s="2" t="s">
        <v>22</v>
      </c>
      <c r="F73" s="2" t="s">
        <v>23</v>
      </c>
      <c r="G73" s="2" t="n">
        <v>4610003890</v>
      </c>
      <c r="H73" s="2" t="s">
        <v>55</v>
      </c>
      <c r="I73" s="3" t="n">
        <v>392.59</v>
      </c>
      <c r="J73" s="2" t="s">
        <v>58</v>
      </c>
      <c r="K73" s="2" t="n">
        <v>9</v>
      </c>
      <c r="L73" s="4" t="n">
        <v>46287</v>
      </c>
      <c r="M73" s="2" t="s">
        <v>31</v>
      </c>
      <c r="N73" s="5" t="n">
        <v>-23.52846501</v>
      </c>
      <c r="O73" s="5" t="n">
        <v>-46.46735294</v>
      </c>
      <c r="P73" s="2" t="str">
        <f aca="false">IF(AND(ISNUMBER(N73),ISNUMBER(O73)),SUBSTITUTE(N73,",",".")&amp;","&amp;SUBSTITUTE(O73,",","."),"Sem coordenadas")</f>
        <v>-23.52846501,-46.46735294</v>
      </c>
      <c r="Q73" s="6" t="str">
        <f aca="false">IF(ISNUMBER(N73),HYPERLINK("https://www.google.com/maps/search/?api=1&amp;query="&amp;P73,"Abrir no Maps"),"Sem coordenadas")</f>
        <v>Abrir no Maps</v>
      </c>
      <c r="R73" s="6" t="str">
        <f aca="false">IF(ISNUMBER(N73),HYPERLINK("https://www.google.com/maps/dir/?api=1&amp;destination="&amp;P73,"Traçar rota"),"Sem coordenadas")</f>
        <v>Traçar rota</v>
      </c>
      <c r="S73" s="6" t="str">
        <f aca="false">IF(ISNUMBER(N73),HYPERLINK("https://www.google.com/maps/@?api=1&amp;map_action=pano&amp;viewpoint="&amp;P73,"Street View"),"Sem coordenadas")</f>
        <v>Street View</v>
      </c>
      <c r="T73" s="6" t="str">
        <f aca="false">HYPERLINK("https://www.google.com/maps/d/edit?mid=1FhSs4z4XyVo8q6ywBexvTMaPd01oMt0&amp;usp=sharing","Abrir My Maps")</f>
        <v>Abrir My Maps</v>
      </c>
    </row>
    <row r="74" customFormat="false" ht="15" hidden="false" customHeight="false" outlineLevel="0" collapsed="false">
      <c r="A74" s="2" t="s">
        <v>116</v>
      </c>
      <c r="B74" s="2" t="n">
        <v>3638289</v>
      </c>
      <c r="C74" s="2" t="s">
        <v>21</v>
      </c>
      <c r="D74" s="2" t="s">
        <v>22</v>
      </c>
      <c r="E74" s="2" t="s">
        <v>22</v>
      </c>
      <c r="F74" s="2" t="s">
        <v>23</v>
      </c>
      <c r="G74" s="2" t="n">
        <v>4610003801</v>
      </c>
      <c r="H74" s="2" t="s">
        <v>55</v>
      </c>
      <c r="I74" s="3" t="n">
        <v>327.24</v>
      </c>
      <c r="J74" s="2" t="s">
        <v>117</v>
      </c>
      <c r="K74" s="2" t="n">
        <v>9</v>
      </c>
      <c r="L74" s="4" t="n">
        <v>46281</v>
      </c>
      <c r="M74" s="2" t="s">
        <v>31</v>
      </c>
      <c r="N74" s="5" t="n">
        <v>-23.51976501</v>
      </c>
      <c r="O74" s="5" t="n">
        <v>-46.45800057</v>
      </c>
      <c r="P74" s="2" t="str">
        <f aca="false">IF(AND(ISNUMBER(N74),ISNUMBER(O74)),SUBSTITUTE(N74,",",".")&amp;","&amp;SUBSTITUTE(O74,",","."),"Sem coordenadas")</f>
        <v>-23.51976501,-46.45800057</v>
      </c>
      <c r="Q74" s="6" t="str">
        <f aca="false">IF(ISNUMBER(N74),HYPERLINK("https://www.google.com/maps/search/?api=1&amp;query="&amp;P74,"Abrir no Maps"),"Sem coordenadas")</f>
        <v>Abrir no Maps</v>
      </c>
      <c r="R74" s="6" t="str">
        <f aca="false">IF(ISNUMBER(N74),HYPERLINK("https://www.google.com/maps/dir/?api=1&amp;destination="&amp;P74,"Traçar rota"),"Sem coordenadas")</f>
        <v>Traçar rota</v>
      </c>
      <c r="S74" s="6" t="str">
        <f aca="false">IF(ISNUMBER(N74),HYPERLINK("https://www.google.com/maps/@?api=1&amp;map_action=pano&amp;viewpoint="&amp;P74,"Street View"),"Sem coordenadas")</f>
        <v>Street View</v>
      </c>
      <c r="T74" s="6" t="str">
        <f aca="false">HYPERLINK("https://www.google.com/maps/d/edit?mid=1FhSs4z4XyVo8q6ywBexvTMaPd01oMt0&amp;usp=sharing","Abrir My Maps")</f>
        <v>Abrir My Maps</v>
      </c>
    </row>
    <row r="75" customFormat="false" ht="15" hidden="false" customHeight="false" outlineLevel="0" collapsed="false">
      <c r="A75" s="2" t="s">
        <v>118</v>
      </c>
      <c r="B75" s="2" t="n">
        <v>3625757</v>
      </c>
      <c r="C75" s="2" t="s">
        <v>21</v>
      </c>
      <c r="D75" s="2" t="s">
        <v>22</v>
      </c>
      <c r="E75" s="2" t="s">
        <v>22</v>
      </c>
      <c r="F75" s="2" t="s">
        <v>36</v>
      </c>
      <c r="G75" s="2" t="n">
        <v>4600004059</v>
      </c>
      <c r="H75" s="2" t="s">
        <v>29</v>
      </c>
      <c r="I75" s="3" t="n">
        <v>151.32</v>
      </c>
      <c r="J75" s="2" t="s">
        <v>30</v>
      </c>
      <c r="K75" s="2" t="n">
        <v>9</v>
      </c>
      <c r="L75" s="4" t="n">
        <v>46083</v>
      </c>
      <c r="M75" s="2" t="s">
        <v>31</v>
      </c>
      <c r="N75" s="5" t="n">
        <v>-23.59445801</v>
      </c>
      <c r="O75" s="5" t="n">
        <v>-46.41924494</v>
      </c>
      <c r="P75" s="2" t="str">
        <f aca="false">IF(AND(ISNUMBER(N75),ISNUMBER(O75)),SUBSTITUTE(N75,",",".")&amp;","&amp;SUBSTITUTE(O75,",","."),"Sem coordenadas")</f>
        <v>-23.59445801,-46.41924494</v>
      </c>
      <c r="Q75" s="6" t="str">
        <f aca="false">IF(ISNUMBER(N75),HYPERLINK("https://www.google.com/maps/search/?api=1&amp;query="&amp;P75,"Abrir no Maps"),"Sem coordenadas")</f>
        <v>Abrir no Maps</v>
      </c>
      <c r="R75" s="6" t="str">
        <f aca="false">IF(ISNUMBER(N75),HYPERLINK("https://www.google.com/maps/dir/?api=1&amp;destination="&amp;P75,"Traçar rota"),"Sem coordenadas")</f>
        <v>Traçar rota</v>
      </c>
      <c r="S75" s="6" t="str">
        <f aca="false">IF(ISNUMBER(N75),HYPERLINK("https://www.google.com/maps/@?api=1&amp;map_action=pano&amp;viewpoint="&amp;P75,"Street View"),"Sem coordenadas")</f>
        <v>Street View</v>
      </c>
      <c r="T75" s="6" t="str">
        <f aca="false">HYPERLINK("https://www.google.com/maps/d/edit?mid=1FhSs4z4XyVo8q6ywBexvTMaPd01oMt0&amp;usp=sharing","Abrir My Maps")</f>
        <v>Abrir My Maps</v>
      </c>
    </row>
    <row r="76" customFormat="false" ht="15" hidden="false" customHeight="false" outlineLevel="0" collapsed="false">
      <c r="A76" s="2" t="s">
        <v>119</v>
      </c>
      <c r="B76" s="2" t="n">
        <v>3632475</v>
      </c>
      <c r="C76" s="2" t="s">
        <v>21</v>
      </c>
      <c r="D76" s="2" t="s">
        <v>22</v>
      </c>
      <c r="E76" s="2" t="s">
        <v>22</v>
      </c>
      <c r="F76" s="2" t="s">
        <v>36</v>
      </c>
      <c r="G76" s="2" t="n">
        <v>4600004059</v>
      </c>
      <c r="H76" s="2" t="s">
        <v>29</v>
      </c>
      <c r="I76" s="3" t="n">
        <v>277.11</v>
      </c>
      <c r="J76" s="2" t="s">
        <v>120</v>
      </c>
      <c r="K76" s="2" t="n">
        <v>9</v>
      </c>
      <c r="L76" s="4" t="n">
        <v>46154</v>
      </c>
      <c r="M76" s="2" t="s">
        <v>31</v>
      </c>
      <c r="N76" s="5" t="n">
        <v>-23.5995591</v>
      </c>
      <c r="O76" s="5" t="n">
        <v>-46.44277093</v>
      </c>
      <c r="P76" s="2" t="str">
        <f aca="false">IF(AND(ISNUMBER(N76),ISNUMBER(O76)),SUBSTITUTE(N76,",",".")&amp;","&amp;SUBSTITUTE(O76,",","."),"Sem coordenadas")</f>
        <v>-23.5995591,-46.44277093</v>
      </c>
      <c r="Q76" s="6" t="str">
        <f aca="false">IF(ISNUMBER(N76),HYPERLINK("https://www.google.com/maps/search/?api=1&amp;query="&amp;P76,"Abrir no Maps"),"Sem coordenadas")</f>
        <v>Abrir no Maps</v>
      </c>
      <c r="R76" s="6" t="str">
        <f aca="false">IF(ISNUMBER(N76),HYPERLINK("https://www.google.com/maps/dir/?api=1&amp;destination="&amp;P76,"Traçar rota"),"Sem coordenadas")</f>
        <v>Traçar rota</v>
      </c>
      <c r="S76" s="6" t="str">
        <f aca="false">IF(ISNUMBER(N76),HYPERLINK("https://www.google.com/maps/@?api=1&amp;map_action=pano&amp;viewpoint="&amp;P76,"Street View"),"Sem coordenadas")</f>
        <v>Street View</v>
      </c>
      <c r="T76" s="6" t="str">
        <f aca="false">HYPERLINK("https://www.google.com/maps/d/edit?mid=1FhSs4z4XyVo8q6ywBexvTMaPd01oMt0&amp;usp=sharing","Abrir My Maps")</f>
        <v>Abrir My Maps</v>
      </c>
    </row>
    <row r="77" customFormat="false" ht="15" hidden="false" customHeight="false" outlineLevel="0" collapsed="false">
      <c r="A77" s="2" t="s">
        <v>121</v>
      </c>
      <c r="B77" s="2" t="n">
        <v>3635330</v>
      </c>
      <c r="C77" s="2" t="s">
        <v>21</v>
      </c>
      <c r="D77" s="2" t="s">
        <v>22</v>
      </c>
      <c r="E77" s="2" t="s">
        <v>22</v>
      </c>
      <c r="F77" s="2" t="s">
        <v>36</v>
      </c>
      <c r="G77" s="2" t="n">
        <v>4600004259</v>
      </c>
      <c r="H77" s="2" t="s">
        <v>24</v>
      </c>
      <c r="I77" s="3" t="n">
        <v>304.29</v>
      </c>
      <c r="J77" s="2" t="s">
        <v>98</v>
      </c>
      <c r="K77" s="2" t="n">
        <v>11</v>
      </c>
      <c r="L77" s="4" t="n">
        <v>46162</v>
      </c>
      <c r="M77" s="2" t="s">
        <v>31</v>
      </c>
      <c r="N77" s="5" t="n">
        <v>-23.55246717</v>
      </c>
      <c r="O77" s="5" t="n">
        <v>-46.61582758</v>
      </c>
      <c r="P77" s="2" t="str">
        <f aca="false">IF(AND(ISNUMBER(N77),ISNUMBER(O77)),SUBSTITUTE(N77,",",".")&amp;","&amp;SUBSTITUTE(O77,",","."),"Sem coordenadas")</f>
        <v>-23.55246717,-46.61582758</v>
      </c>
      <c r="Q77" s="6" t="str">
        <f aca="false">IF(ISNUMBER(N77),HYPERLINK("https://www.google.com/maps/search/?api=1&amp;query="&amp;P77,"Abrir no Maps"),"Sem coordenadas")</f>
        <v>Abrir no Maps</v>
      </c>
      <c r="R77" s="6" t="str">
        <f aca="false">IF(ISNUMBER(N77),HYPERLINK("https://www.google.com/maps/dir/?api=1&amp;destination="&amp;P77,"Traçar rota"),"Sem coordenadas")</f>
        <v>Traçar rota</v>
      </c>
      <c r="S77" s="6" t="str">
        <f aca="false">IF(ISNUMBER(N77),HYPERLINK("https://www.google.com/maps/@?api=1&amp;map_action=pano&amp;viewpoint="&amp;P77,"Street View"),"Sem coordenadas")</f>
        <v>Street View</v>
      </c>
      <c r="T77" s="6" t="str">
        <f aca="false">HYPERLINK("https://www.google.com/maps/d/edit?mid=1FhSs4z4XyVo8q6ywBexvTMaPd01oMt0&amp;usp=sharing","Abrir My Maps")</f>
        <v>Abrir My Maps</v>
      </c>
    </row>
    <row r="78" customFormat="false" ht="15" hidden="false" customHeight="false" outlineLevel="0" collapsed="false">
      <c r="A78" s="2" t="s">
        <v>122</v>
      </c>
      <c r="B78" s="2" t="n">
        <v>3635330</v>
      </c>
      <c r="C78" s="2" t="s">
        <v>21</v>
      </c>
      <c r="D78" s="2" t="s">
        <v>22</v>
      </c>
      <c r="E78" s="2" t="s">
        <v>22</v>
      </c>
      <c r="F78" s="2" t="s">
        <v>36</v>
      </c>
      <c r="G78" s="2" t="n">
        <v>4600004259</v>
      </c>
      <c r="H78" s="2" t="s">
        <v>24</v>
      </c>
      <c r="I78" s="3" t="n">
        <v>114.8</v>
      </c>
      <c r="J78" s="2" t="s">
        <v>98</v>
      </c>
      <c r="K78" s="2" t="n">
        <v>11</v>
      </c>
      <c r="L78" s="4" t="n">
        <v>46162</v>
      </c>
      <c r="M78" s="2" t="s">
        <v>31</v>
      </c>
      <c r="N78" s="5" t="n">
        <v>-23.55246717</v>
      </c>
      <c r="O78" s="5" t="n">
        <v>-46.61582758</v>
      </c>
      <c r="P78" s="2" t="str">
        <f aca="false">IF(AND(ISNUMBER(N78),ISNUMBER(O78)),SUBSTITUTE(N78,",",".")&amp;","&amp;SUBSTITUTE(O78,",","."),"Sem coordenadas")</f>
        <v>-23.55246717,-46.61582758</v>
      </c>
      <c r="Q78" s="6" t="str">
        <f aca="false">IF(ISNUMBER(N78),HYPERLINK("https://www.google.com/maps/search/?api=1&amp;query="&amp;P78,"Abrir no Maps"),"Sem coordenadas")</f>
        <v>Abrir no Maps</v>
      </c>
      <c r="R78" s="6" t="str">
        <f aca="false">IF(ISNUMBER(N78),HYPERLINK("https://www.google.com/maps/dir/?api=1&amp;destination="&amp;P78,"Traçar rota"),"Sem coordenadas")</f>
        <v>Traçar rota</v>
      </c>
      <c r="S78" s="6" t="str">
        <f aca="false">IF(ISNUMBER(N78),HYPERLINK("https://www.google.com/maps/@?api=1&amp;map_action=pano&amp;viewpoint="&amp;P78,"Street View"),"Sem coordenadas")</f>
        <v>Street View</v>
      </c>
      <c r="T78" s="6" t="str">
        <f aca="false">HYPERLINK("https://www.google.com/maps/d/edit?mid=1FhSs4z4XyVo8q6ywBexvTMaPd01oMt0&amp;usp=sharing","Abrir My Maps")</f>
        <v>Abrir My Maps</v>
      </c>
    </row>
    <row r="79" customFormat="false" ht="15" hidden="false" customHeight="false" outlineLevel="0" collapsed="false">
      <c r="A79" s="2" t="s">
        <v>123</v>
      </c>
      <c r="B79" s="2" t="n">
        <v>3635330</v>
      </c>
      <c r="C79" s="2" t="s">
        <v>21</v>
      </c>
      <c r="D79" s="2" t="s">
        <v>22</v>
      </c>
      <c r="E79" s="2" t="s">
        <v>22</v>
      </c>
      <c r="F79" s="2" t="s">
        <v>36</v>
      </c>
      <c r="G79" s="2" t="n">
        <v>4600004259</v>
      </c>
      <c r="H79" s="2" t="s">
        <v>24</v>
      </c>
      <c r="I79" s="3" t="n">
        <v>145.57</v>
      </c>
      <c r="J79" s="2" t="s">
        <v>98</v>
      </c>
      <c r="K79" s="2" t="n">
        <v>11</v>
      </c>
      <c r="L79" s="4" t="n">
        <v>46162</v>
      </c>
      <c r="M79" s="2" t="s">
        <v>31</v>
      </c>
      <c r="N79" s="5" t="n">
        <v>-23.55246717</v>
      </c>
      <c r="O79" s="5" t="n">
        <v>-46.61582758</v>
      </c>
      <c r="P79" s="2" t="str">
        <f aca="false">IF(AND(ISNUMBER(N79),ISNUMBER(O79)),SUBSTITUTE(N79,",",".")&amp;","&amp;SUBSTITUTE(O79,",","."),"Sem coordenadas")</f>
        <v>-23.55246717,-46.61582758</v>
      </c>
      <c r="Q79" s="6" t="str">
        <f aca="false">IF(ISNUMBER(N79),HYPERLINK("https://www.google.com/maps/search/?api=1&amp;query="&amp;P79,"Abrir no Maps"),"Sem coordenadas")</f>
        <v>Abrir no Maps</v>
      </c>
      <c r="R79" s="6" t="str">
        <f aca="false">IF(ISNUMBER(N79),HYPERLINK("https://www.google.com/maps/dir/?api=1&amp;destination="&amp;P79,"Traçar rota"),"Sem coordenadas")</f>
        <v>Traçar rota</v>
      </c>
      <c r="S79" s="6" t="str">
        <f aca="false">IF(ISNUMBER(N79),HYPERLINK("https://www.google.com/maps/@?api=1&amp;map_action=pano&amp;viewpoint="&amp;P79,"Street View"),"Sem coordenadas")</f>
        <v>Street View</v>
      </c>
      <c r="T79" s="6" t="str">
        <f aca="false">HYPERLINK("https://www.google.com/maps/d/edit?mid=1FhSs4z4XyVo8q6ywBexvTMaPd01oMt0&amp;usp=sharing","Abrir My Maps")</f>
        <v>Abrir My Maps</v>
      </c>
    </row>
    <row r="80" customFormat="false" ht="15" hidden="false" customHeight="false" outlineLevel="0" collapsed="false">
      <c r="A80" s="2" t="s">
        <v>124</v>
      </c>
      <c r="B80" s="2" t="n">
        <v>3632475</v>
      </c>
      <c r="C80" s="2" t="s">
        <v>21</v>
      </c>
      <c r="D80" s="2" t="s">
        <v>22</v>
      </c>
      <c r="E80" s="2" t="s">
        <v>22</v>
      </c>
      <c r="F80" s="2" t="s">
        <v>36</v>
      </c>
      <c r="G80" s="2" t="n">
        <v>4600004059</v>
      </c>
      <c r="H80" s="2" t="s">
        <v>29</v>
      </c>
      <c r="I80" s="3" t="n">
        <v>230.24</v>
      </c>
      <c r="J80" s="2" t="s">
        <v>120</v>
      </c>
      <c r="K80" s="2" t="n">
        <v>9</v>
      </c>
      <c r="L80" s="4" t="n">
        <v>46154</v>
      </c>
      <c r="M80" s="2" t="s">
        <v>31</v>
      </c>
      <c r="N80" s="5" t="n">
        <v>-23.5995591</v>
      </c>
      <c r="O80" s="5" t="n">
        <v>-46.44277093</v>
      </c>
      <c r="P80" s="2" t="str">
        <f aca="false">IF(AND(ISNUMBER(N80),ISNUMBER(O80)),SUBSTITUTE(N80,",",".")&amp;","&amp;SUBSTITUTE(O80,",","."),"Sem coordenadas")</f>
        <v>-23.5995591,-46.44277093</v>
      </c>
      <c r="Q80" s="6" t="str">
        <f aca="false">IF(ISNUMBER(N80),HYPERLINK("https://www.google.com/maps/search/?api=1&amp;query="&amp;P80,"Abrir no Maps"),"Sem coordenadas")</f>
        <v>Abrir no Maps</v>
      </c>
      <c r="R80" s="6" t="str">
        <f aca="false">IF(ISNUMBER(N80),HYPERLINK("https://www.google.com/maps/dir/?api=1&amp;destination="&amp;P80,"Traçar rota"),"Sem coordenadas")</f>
        <v>Traçar rota</v>
      </c>
      <c r="S80" s="6" t="str">
        <f aca="false">IF(ISNUMBER(N80),HYPERLINK("https://www.google.com/maps/@?api=1&amp;map_action=pano&amp;viewpoint="&amp;P80,"Street View"),"Sem coordenadas")</f>
        <v>Street View</v>
      </c>
      <c r="T80" s="6" t="str">
        <f aca="false">HYPERLINK("https://www.google.com/maps/d/edit?mid=1FhSs4z4XyVo8q6ywBexvTMaPd01oMt0&amp;usp=sharing","Abrir My Maps")</f>
        <v>Abrir My Maps</v>
      </c>
    </row>
    <row r="81" customFormat="false" ht="15" hidden="false" customHeight="false" outlineLevel="0" collapsed="false">
      <c r="A81" s="2" t="s">
        <v>125</v>
      </c>
      <c r="B81" s="2" t="n">
        <v>3635330</v>
      </c>
      <c r="C81" s="2" t="s">
        <v>21</v>
      </c>
      <c r="D81" s="2" t="s">
        <v>22</v>
      </c>
      <c r="E81" s="2" t="s">
        <v>22</v>
      </c>
      <c r="F81" s="2" t="s">
        <v>36</v>
      </c>
      <c r="G81" s="2" t="n">
        <v>4600004259</v>
      </c>
      <c r="H81" s="2" t="s">
        <v>24</v>
      </c>
      <c r="I81" s="3" t="n">
        <v>114.83</v>
      </c>
      <c r="J81" s="2" t="s">
        <v>98</v>
      </c>
      <c r="K81" s="2" t="n">
        <v>11</v>
      </c>
      <c r="L81" s="4" t="n">
        <v>46162</v>
      </c>
      <c r="M81" s="2" t="s">
        <v>31</v>
      </c>
      <c r="N81" s="5" t="n">
        <v>-23.55246717</v>
      </c>
      <c r="O81" s="5" t="n">
        <v>-46.61582758</v>
      </c>
      <c r="P81" s="2" t="str">
        <f aca="false">IF(AND(ISNUMBER(N81),ISNUMBER(O81)),SUBSTITUTE(N81,",",".")&amp;","&amp;SUBSTITUTE(O81,",","."),"Sem coordenadas")</f>
        <v>-23.55246717,-46.61582758</v>
      </c>
      <c r="Q81" s="6" t="str">
        <f aca="false">IF(ISNUMBER(N81),HYPERLINK("https://www.google.com/maps/search/?api=1&amp;query="&amp;P81,"Abrir no Maps"),"Sem coordenadas")</f>
        <v>Abrir no Maps</v>
      </c>
      <c r="R81" s="6" t="str">
        <f aca="false">IF(ISNUMBER(N81),HYPERLINK("https://www.google.com/maps/dir/?api=1&amp;destination="&amp;P81,"Traçar rota"),"Sem coordenadas")</f>
        <v>Traçar rota</v>
      </c>
      <c r="S81" s="6" t="str">
        <f aca="false">IF(ISNUMBER(N81),HYPERLINK("https://www.google.com/maps/@?api=1&amp;map_action=pano&amp;viewpoint="&amp;P81,"Street View"),"Sem coordenadas")</f>
        <v>Street View</v>
      </c>
      <c r="T81" s="6" t="str">
        <f aca="false">HYPERLINK("https://www.google.com/maps/d/edit?mid=1FhSs4z4XyVo8q6ywBexvTMaPd01oMt0&amp;usp=sharing","Abrir My Maps")</f>
        <v>Abrir My Maps</v>
      </c>
    </row>
    <row r="82" customFormat="false" ht="15" hidden="false" customHeight="false" outlineLevel="0" collapsed="false">
      <c r="A82" s="2" t="s">
        <v>126</v>
      </c>
      <c r="B82" s="2" t="n">
        <v>3639231</v>
      </c>
      <c r="C82" s="2" t="s">
        <v>21</v>
      </c>
      <c r="D82" s="2" t="s">
        <v>22</v>
      </c>
      <c r="E82" s="2" t="s">
        <v>22</v>
      </c>
      <c r="F82" s="2" t="s">
        <v>23</v>
      </c>
      <c r="G82" s="2" t="n">
        <v>4610003779</v>
      </c>
      <c r="H82" s="2" t="s">
        <v>24</v>
      </c>
      <c r="I82" s="3" t="n">
        <v>43.44</v>
      </c>
      <c r="J82" s="2" t="s">
        <v>127</v>
      </c>
      <c r="K82" s="2" t="n">
        <v>11</v>
      </c>
      <c r="L82" s="4" t="n">
        <v>46254</v>
      </c>
      <c r="M82" s="2" t="s">
        <v>31</v>
      </c>
      <c r="N82" s="5" t="n">
        <v>-23.56338345</v>
      </c>
      <c r="O82" s="5" t="n">
        <v>-46.56215773</v>
      </c>
      <c r="P82" s="2" t="str">
        <f aca="false">IF(AND(ISNUMBER(N82),ISNUMBER(O82)),SUBSTITUTE(N82,",",".")&amp;","&amp;SUBSTITUTE(O82,",","."),"Sem coordenadas")</f>
        <v>-23.56338345,-46.56215773</v>
      </c>
      <c r="Q82" s="6" t="str">
        <f aca="false">IF(ISNUMBER(N82),HYPERLINK("https://www.google.com/maps/search/?api=1&amp;query="&amp;P82,"Abrir no Maps"),"Sem coordenadas")</f>
        <v>Abrir no Maps</v>
      </c>
      <c r="R82" s="6" t="str">
        <f aca="false">IF(ISNUMBER(N82),HYPERLINK("https://www.google.com/maps/dir/?api=1&amp;destination="&amp;P82,"Traçar rota"),"Sem coordenadas")</f>
        <v>Traçar rota</v>
      </c>
      <c r="S82" s="6" t="str">
        <f aca="false">IF(ISNUMBER(N82),HYPERLINK("https://www.google.com/maps/@?api=1&amp;map_action=pano&amp;viewpoint="&amp;P82,"Street View"),"Sem coordenadas")</f>
        <v>Street View</v>
      </c>
      <c r="T82" s="6" t="str">
        <f aca="false">HYPERLINK("https://www.google.com/maps/d/edit?mid=1FhSs4z4XyVo8q6ywBexvTMaPd01oMt0&amp;usp=sharing","Abrir My Maps")</f>
        <v>Abrir My Maps</v>
      </c>
    </row>
    <row r="83" customFormat="false" ht="15" hidden="false" customHeight="false" outlineLevel="0" collapsed="false">
      <c r="A83" s="2" t="s">
        <v>128</v>
      </c>
      <c r="B83" s="2" t="n">
        <v>3272374</v>
      </c>
      <c r="C83" s="2" t="s">
        <v>21</v>
      </c>
      <c r="D83" s="2" t="s">
        <v>22</v>
      </c>
      <c r="E83" s="2" t="s">
        <v>22</v>
      </c>
      <c r="F83" s="2" t="s">
        <v>28</v>
      </c>
      <c r="G83" s="2" t="n">
        <v>4600004059</v>
      </c>
      <c r="H83" s="2" t="s">
        <v>29</v>
      </c>
      <c r="I83" s="3" t="n">
        <v>53.03</v>
      </c>
      <c r="J83" s="2" t="s">
        <v>60</v>
      </c>
      <c r="K83" s="2" t="n">
        <v>9</v>
      </c>
      <c r="L83" s="4" t="n">
        <v>46198</v>
      </c>
      <c r="M83" s="2" t="s">
        <v>31</v>
      </c>
      <c r="N83" s="5" t="n">
        <v>-23.61132836</v>
      </c>
      <c r="O83" s="5" t="n">
        <v>-46.44270579</v>
      </c>
      <c r="P83" s="2" t="str">
        <f aca="false">IF(AND(ISNUMBER(N83),ISNUMBER(O83)),SUBSTITUTE(N83,",",".")&amp;","&amp;SUBSTITUTE(O83,",","."),"Sem coordenadas")</f>
        <v>-23.61132836,-46.44270579</v>
      </c>
      <c r="Q83" s="6" t="str">
        <f aca="false">IF(ISNUMBER(N83),HYPERLINK("https://www.google.com/maps/search/?api=1&amp;query="&amp;P83,"Abrir no Maps"),"Sem coordenadas")</f>
        <v>Abrir no Maps</v>
      </c>
      <c r="R83" s="6" t="str">
        <f aca="false">IF(ISNUMBER(N83),HYPERLINK("https://www.google.com/maps/dir/?api=1&amp;destination="&amp;P83,"Traçar rota"),"Sem coordenadas")</f>
        <v>Traçar rota</v>
      </c>
      <c r="S83" s="6" t="str">
        <f aca="false">IF(ISNUMBER(N83),HYPERLINK("https://www.google.com/maps/@?api=1&amp;map_action=pano&amp;viewpoint="&amp;P83,"Street View"),"Sem coordenadas")</f>
        <v>Street View</v>
      </c>
      <c r="T83" s="6" t="str">
        <f aca="false">HYPERLINK("https://www.google.com/maps/d/edit?mid=1FhSs4z4XyVo8q6ywBexvTMaPd01oMt0&amp;usp=sharing","Abrir My Maps")</f>
        <v>Abrir My Maps</v>
      </c>
    </row>
  </sheetData>
  <autoFilter ref="A1:T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7" t="s">
        <v>129</v>
      </c>
    </row>
    <row r="3" customFormat="false" ht="15" hidden="false" customHeight="false" outlineLevel="0" collapsed="false">
      <c r="A3" s="8" t="s">
        <v>19</v>
      </c>
      <c r="B3" s="9" t="s">
        <v>130</v>
      </c>
    </row>
    <row r="4" customFormat="false" ht="15" hidden="false" customHeight="false" outlineLevel="0" collapsed="false">
      <c r="A4" s="8" t="s">
        <v>131</v>
      </c>
      <c r="B4" s="10" t="s">
        <v>132</v>
      </c>
    </row>
    <row r="5" customFormat="false" ht="15" hidden="false" customHeight="false" outlineLevel="0" collapsed="false">
      <c r="A5" s="8" t="s">
        <v>133</v>
      </c>
      <c r="B5" s="10" t="s">
        <v>134</v>
      </c>
    </row>
    <row r="6" customFormat="false" ht="15" hidden="false" customHeight="false" outlineLevel="0" collapsed="false">
      <c r="A6" s="8" t="s">
        <v>135</v>
      </c>
      <c r="B6" s="10" t="s">
        <v>136</v>
      </c>
    </row>
  </sheetData>
  <hyperlinks>
    <hyperlink ref="B3" r:id="rId1" display="https://www.google.com/maps/d/edit?mid=1FhSs4z4XyVo8q6ywBexvTMaPd01oMt0&amp;usp=shar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2026-10-08T17:26:50Z</dcterms:created>
  <dc:creator>openpyxl</dc:creator>
  <dc:description/>
  <dc:language>en-US</dc:language>
  <cp:lastModifiedBy/>
  <dcterms:modified xsi:type="dcterms:W3CDTF">2026-10-08T17:26:50Z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